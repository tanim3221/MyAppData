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drawings/drawing2.xml" ContentType="application/vnd.openxmlformats-officedocument.drawing+xml"/>
  <Override PartName="/xl/customProperty3.bin" ContentType="application/vnd.openxmlformats-officedocument.spreadsheetml.customProperty"/>
  <Override PartName="/xl/drawings/drawing3.xml" ContentType="application/vnd.openxmlformats-officedocument.drawing+xml"/>
  <Override PartName="/xl/customProperty4.bin" ContentType="application/vnd.openxmlformats-officedocument.spreadsheetml.customProperty"/>
  <Override PartName="/xl/drawings/drawing4.xml" ContentType="application/vnd.openxmlformats-officedocument.drawing+xml"/>
  <Override PartName="/xl/comments1.xml" ContentType="application/vnd.openxmlformats-officedocument.spreadsheetml.comments+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drawings/drawing5.xml" ContentType="application/vnd.openxmlformats-officedocument.drawing+xml"/>
  <Override PartName="/xl/customProperty8.bin" ContentType="application/vnd.openxmlformats-officedocument.spreadsheetml.customProperty"/>
  <Override PartName="/xl/drawings/drawing6.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workbookPr showInkAnnotation="0" updateLinks="never" codeName="ThisWorkbook"/>
  <mc:AlternateContent xmlns:mc="http://schemas.openxmlformats.org/markup-compatibility/2006">
    <mc:Choice Requires="x15">
      <x15ac:absPath xmlns:x15ac="http://schemas.microsoft.com/office/spreadsheetml/2010/11/ac" url="C:\Temp\"/>
    </mc:Choice>
  </mc:AlternateContent>
  <xr:revisionPtr revIDLastSave="0" documentId="13_ncr:1_{BDC85466-1EF8-4FE2-81E2-E74019094144}" xr6:coauthVersionLast="45" xr6:coauthVersionMax="45" xr10:uidLastSave="{00000000-0000-0000-0000-000000000000}"/>
  <bookViews>
    <workbookView xWindow="-120" yWindow="-120" windowWidth="29040" windowHeight="15840" tabRatio="803" xr2:uid="{00000000-000D-0000-FFFF-FFFF00000000}"/>
  </bookViews>
  <sheets>
    <sheet name="0. Summary Tab" sheetId="18" r:id="rId1"/>
    <sheet name="1. Population Reconciliation" sheetId="48" r:id="rId2"/>
    <sheet name="2. SAP Considerations" sheetId="62" r:id="rId3"/>
    <sheet name="3. SAP — Disaggregated Part 1" sheetId="63" r:id="rId4"/>
    <sheet name="4. SAP — Disaggregated Part 2" sheetId="64" r:id="rId5"/>
    <sheet name="5. SAP — Disaggregated Part 3" sheetId="65" r:id="rId6"/>
    <sheet name="6. SAP IPE" sheetId="66" r:id="rId7"/>
    <sheet name="7. Appendix for Expectation" sheetId="51" r:id="rId8"/>
    <sheet name="Tickmarks" sheetId="33" r:id="rId9"/>
    <sheet name="Parameters (Hide)" sheetId="29" state="hidden" r:id="rId10"/>
  </sheets>
  <definedNames>
    <definedName name="AS2DocOpenMode" hidden="1">"AS2DocumentEdit"</definedName>
    <definedName name="AS2HasNoAutoHeaderFooter" hidden="1">" "</definedName>
    <definedName name="AS2NamedRange" hidden="1">4</definedName>
    <definedName name="AS2ReportLS" hidden="1">1</definedName>
    <definedName name="AS2StaticLS" localSheetId="4" hidden="1">#REF!</definedName>
    <definedName name="AS2StaticLS" localSheetId="5" hidden="1">#REF!</definedName>
    <definedName name="AS2StaticLS" localSheetId="6" hidden="1">#REF!</definedName>
    <definedName name="AS2StaticLS" hidden="1">#REF!</definedName>
    <definedName name="AS2SyncStepLS" hidden="1">0</definedName>
    <definedName name="AS2TickmarkLS" localSheetId="4" hidden="1">#REF!</definedName>
    <definedName name="AS2TickmarkLS" localSheetId="5" hidden="1">#REF!</definedName>
    <definedName name="AS2TickmarkLS" localSheetId="6" hidden="1">#REF!</definedName>
    <definedName name="AS2TickmarkLS" hidden="1">#REF!</definedName>
    <definedName name="AS2VersionLS" hidden="1">300</definedName>
    <definedName name="DL3eafb9ff_b705_4e5f_8a61_27d35438f30e" localSheetId="4" hidden="1">#REF!</definedName>
    <definedName name="DL3eafb9ff_b705_4e5f_8a61_27d35438f30e" localSheetId="5" hidden="1">#REF!</definedName>
    <definedName name="DL3eafb9ff_b705_4e5f_8a61_27d35438f30e" localSheetId="6" hidden="1">#REF!</definedName>
    <definedName name="DL3eafb9ff_b705_4e5f_8a61_27d35438f30e" hidden="1">#REF!</definedName>
    <definedName name="DLaad15270_c3c7_4e94_8ceb_64fdd374dd18" localSheetId="4" hidden="1">#REF!</definedName>
    <definedName name="DLaad15270_c3c7_4e94_8ceb_64fdd374dd18" localSheetId="5" hidden="1">#REF!</definedName>
    <definedName name="DLaad15270_c3c7_4e94_8ceb_64fdd374dd18" localSheetId="6" hidden="1">#REF!</definedName>
    <definedName name="DLaad15270_c3c7_4e94_8ceb_64fdd374dd18" hidden="1">#REF!</definedName>
    <definedName name="TextRefCopyRangeCount" hidden="1">51</definedName>
    <definedName name="wrn.Aging._.and._.Trend._.Analysis." hidden="1">{#N/A,#N/A,FALSE,"Aging Summary";#N/A,#N/A,FALSE,"Ratio Analysis";#N/A,#N/A,FALSE,"Test 120 Day Accts";#N/A,#N/A,FALSE,"Tickmarks"}</definedName>
    <definedName name="XREF_COLUMN_1" localSheetId="4" hidden="1">#REF!</definedName>
    <definedName name="XREF_COLUMN_1" localSheetId="5" hidden="1">#REF!</definedName>
    <definedName name="XREF_COLUMN_1" localSheetId="6" hidden="1">#REF!</definedName>
    <definedName name="XREF_COLUMN_1" hidden="1">#REF!</definedName>
    <definedName name="XREF_COLUMN_10" localSheetId="4" hidden="1">#REF!</definedName>
    <definedName name="XREF_COLUMN_10" localSheetId="5" hidden="1">#REF!</definedName>
    <definedName name="XREF_COLUMN_10" localSheetId="6" hidden="1">#REF!</definedName>
    <definedName name="XREF_COLUMN_10" hidden="1">#REF!</definedName>
    <definedName name="XREF_COLUMN_11" localSheetId="4" hidden="1">#REF!</definedName>
    <definedName name="XREF_COLUMN_11" localSheetId="5" hidden="1">#REF!</definedName>
    <definedName name="XREF_COLUMN_11" localSheetId="6" hidden="1">#REF!</definedName>
    <definedName name="XREF_COLUMN_11" hidden="1">#REF!</definedName>
    <definedName name="XREF_COLUMN_2" localSheetId="4" hidden="1">#REF!</definedName>
    <definedName name="XREF_COLUMN_2" localSheetId="5" hidden="1">#REF!</definedName>
    <definedName name="XREF_COLUMN_2" localSheetId="6" hidden="1">#REF!</definedName>
    <definedName name="XREF_COLUMN_2" hidden="1">#REF!</definedName>
    <definedName name="XREF_COLUMN_3" localSheetId="4" hidden="1">#REF!</definedName>
    <definedName name="XREF_COLUMN_3" localSheetId="5" hidden="1">#REF!</definedName>
    <definedName name="XREF_COLUMN_3" localSheetId="6" hidden="1">#REF!</definedName>
    <definedName name="XREF_COLUMN_3" hidden="1">#REF!</definedName>
    <definedName name="XREF_COLUMN_5" localSheetId="4" hidden="1">#REF!</definedName>
    <definedName name="XREF_COLUMN_5" localSheetId="5" hidden="1">#REF!</definedName>
    <definedName name="XREF_COLUMN_5" localSheetId="6" hidden="1">#REF!</definedName>
    <definedName name="XREF_COLUMN_5" hidden="1">#REF!</definedName>
    <definedName name="XREF_COLUMN_6" localSheetId="4" hidden="1">#REF!</definedName>
    <definedName name="XREF_COLUMN_6" localSheetId="5" hidden="1">#REF!</definedName>
    <definedName name="XREF_COLUMN_6" localSheetId="6" hidden="1">#REF!</definedName>
    <definedName name="XREF_COLUMN_6" hidden="1">#REF!</definedName>
    <definedName name="XREF_COLUMN_7" localSheetId="4" hidden="1">#REF!</definedName>
    <definedName name="XREF_COLUMN_7" localSheetId="5" hidden="1">#REF!</definedName>
    <definedName name="XREF_COLUMN_7" localSheetId="6" hidden="1">#REF!</definedName>
    <definedName name="XREF_COLUMN_7" hidden="1">#REF!</definedName>
    <definedName name="XREF_COLUMN_8" localSheetId="4" hidden="1">#REF!</definedName>
    <definedName name="XREF_COLUMN_8" localSheetId="5" hidden="1">#REF!</definedName>
    <definedName name="XREF_COLUMN_8" localSheetId="6" hidden="1">#REF!</definedName>
    <definedName name="XREF_COLUMN_8" hidden="1">#REF!</definedName>
    <definedName name="XREF_COLUMN_9" localSheetId="4" hidden="1">#REF!</definedName>
    <definedName name="XREF_COLUMN_9" localSheetId="5" hidden="1">#REF!</definedName>
    <definedName name="XREF_COLUMN_9" localSheetId="6" hidden="1">#REF!</definedName>
    <definedName name="XREF_COLUMN_9" hidden="1">#REF!</definedName>
    <definedName name="XRefActiveRow" localSheetId="4" hidden="1">#REF!</definedName>
    <definedName name="XRefActiveRow" localSheetId="5" hidden="1">#REF!</definedName>
    <definedName name="XRefActiveRow" localSheetId="6" hidden="1">#REF!</definedName>
    <definedName name="XRefActiveRow" hidden="1">#REF!</definedName>
    <definedName name="XRefColumnsCount" hidden="1">7</definedName>
    <definedName name="XRefCopy1" localSheetId="4" hidden="1">#REF!</definedName>
    <definedName name="XRefCopy1" localSheetId="5" hidden="1">#REF!</definedName>
    <definedName name="XRefCopy1" localSheetId="6" hidden="1">#REF!</definedName>
    <definedName name="XRefCopy1" hidden="1">#REF!</definedName>
    <definedName name="XRefCopy10" localSheetId="4" hidden="1">#REF!</definedName>
    <definedName name="XRefCopy10" localSheetId="5" hidden="1">#REF!</definedName>
    <definedName name="XRefCopy10" localSheetId="6" hidden="1">#REF!</definedName>
    <definedName name="XRefCopy10" hidden="1">#REF!</definedName>
    <definedName name="XRefCopy10Row" localSheetId="4" hidden="1">#REF!</definedName>
    <definedName name="XRefCopy10Row" localSheetId="5" hidden="1">#REF!</definedName>
    <definedName name="XRefCopy10Row" localSheetId="6" hidden="1">#REF!</definedName>
    <definedName name="XRefCopy10Row" hidden="1">#REF!</definedName>
    <definedName name="XRefCopy11" localSheetId="4" hidden="1">#REF!</definedName>
    <definedName name="XRefCopy11" localSheetId="5" hidden="1">#REF!</definedName>
    <definedName name="XRefCopy11" localSheetId="6" hidden="1">#REF!</definedName>
    <definedName name="XRefCopy11" hidden="1">#REF!</definedName>
    <definedName name="XRefCopy11Row" localSheetId="4" hidden="1">#REF!</definedName>
    <definedName name="XRefCopy11Row" localSheetId="5" hidden="1">#REF!</definedName>
    <definedName name="XRefCopy11Row" localSheetId="6" hidden="1">#REF!</definedName>
    <definedName name="XRefCopy11Row" hidden="1">#REF!</definedName>
    <definedName name="XRefCopy12" localSheetId="4" hidden="1">#REF!</definedName>
    <definedName name="XRefCopy12" localSheetId="5" hidden="1">#REF!</definedName>
    <definedName name="XRefCopy12" localSheetId="6" hidden="1">#REF!</definedName>
    <definedName name="XRefCopy12" hidden="1">#REF!</definedName>
    <definedName name="XRefCopy12Row" localSheetId="4" hidden="1">#REF!</definedName>
    <definedName name="XRefCopy12Row" localSheetId="5" hidden="1">#REF!</definedName>
    <definedName name="XRefCopy12Row" localSheetId="6" hidden="1">#REF!</definedName>
    <definedName name="XRefCopy12Row" hidden="1">#REF!</definedName>
    <definedName name="XRefCopy13" localSheetId="4" hidden="1">#REF!</definedName>
    <definedName name="XRefCopy13" localSheetId="5" hidden="1">#REF!</definedName>
    <definedName name="XRefCopy13" localSheetId="6" hidden="1">#REF!</definedName>
    <definedName name="XRefCopy13" hidden="1">#REF!</definedName>
    <definedName name="XRefCopy13Row" localSheetId="4" hidden="1">#REF!</definedName>
    <definedName name="XRefCopy13Row" localSheetId="5" hidden="1">#REF!</definedName>
    <definedName name="XRefCopy13Row" localSheetId="6" hidden="1">#REF!</definedName>
    <definedName name="XRefCopy13Row" hidden="1">#REF!</definedName>
    <definedName name="XRefCopy14" localSheetId="4" hidden="1">#REF!</definedName>
    <definedName name="XRefCopy14" localSheetId="5" hidden="1">#REF!</definedName>
    <definedName name="XRefCopy14" localSheetId="6" hidden="1">#REF!</definedName>
    <definedName name="XRefCopy14" hidden="1">#REF!</definedName>
    <definedName name="XRefCopy14Row" localSheetId="4" hidden="1">#REF!</definedName>
    <definedName name="XRefCopy14Row" localSheetId="5" hidden="1">#REF!</definedName>
    <definedName name="XRefCopy14Row" localSheetId="6" hidden="1">#REF!</definedName>
    <definedName name="XRefCopy14Row" hidden="1">#REF!</definedName>
    <definedName name="XRefCopy15" localSheetId="4" hidden="1">#REF!</definedName>
    <definedName name="XRefCopy15" localSheetId="5" hidden="1">#REF!</definedName>
    <definedName name="XRefCopy15" localSheetId="6" hidden="1">#REF!</definedName>
    <definedName name="XRefCopy15" hidden="1">#REF!</definedName>
    <definedName name="XRefCopy15Row" localSheetId="4" hidden="1">#REF!</definedName>
    <definedName name="XRefCopy15Row" localSheetId="5" hidden="1">#REF!</definedName>
    <definedName name="XRefCopy15Row" localSheetId="6" hidden="1">#REF!</definedName>
    <definedName name="XRefCopy15Row" hidden="1">#REF!</definedName>
    <definedName name="XRefCopy16" hidden="1">#REF!</definedName>
    <definedName name="XRefCopy17" localSheetId="4" hidden="1">#REF!</definedName>
    <definedName name="XRefCopy17" localSheetId="5" hidden="1">#REF!</definedName>
    <definedName name="XRefCopy17" localSheetId="6" hidden="1">#REF!</definedName>
    <definedName name="XRefCopy17" hidden="1">#REF!</definedName>
    <definedName name="XRefCopy17Row" localSheetId="4" hidden="1">#REF!</definedName>
    <definedName name="XRefCopy17Row" localSheetId="5" hidden="1">#REF!</definedName>
    <definedName name="XRefCopy17Row" localSheetId="6" hidden="1">#REF!</definedName>
    <definedName name="XRefCopy17Row" hidden="1">#REF!</definedName>
    <definedName name="XRefCopy18" localSheetId="4" hidden="1">#REF!</definedName>
    <definedName name="XRefCopy18" localSheetId="5" hidden="1">#REF!</definedName>
    <definedName name="XRefCopy18" localSheetId="6" hidden="1">#REF!</definedName>
    <definedName name="XRefCopy18" hidden="1">#REF!</definedName>
    <definedName name="XRefCopy18Row" localSheetId="4" hidden="1">#REF!</definedName>
    <definedName name="XRefCopy18Row" localSheetId="5" hidden="1">#REF!</definedName>
    <definedName name="XRefCopy18Row" localSheetId="6" hidden="1">#REF!</definedName>
    <definedName name="XRefCopy18Row" hidden="1">#REF!</definedName>
    <definedName name="XRefCopy19" localSheetId="4" hidden="1">#REF!</definedName>
    <definedName name="XRefCopy19" localSheetId="5" hidden="1">#REF!</definedName>
    <definedName name="XRefCopy19" localSheetId="6" hidden="1">#REF!</definedName>
    <definedName name="XRefCopy19" hidden="1">#REF!</definedName>
    <definedName name="XRefCopy19Row" localSheetId="4" hidden="1">#REF!</definedName>
    <definedName name="XRefCopy19Row" localSheetId="5" hidden="1">#REF!</definedName>
    <definedName name="XRefCopy19Row" localSheetId="6" hidden="1">#REF!</definedName>
    <definedName name="XRefCopy19Row" hidden="1">#REF!</definedName>
    <definedName name="XRefCopy1Row" localSheetId="4" hidden="1">#REF!</definedName>
    <definedName name="XRefCopy1Row" localSheetId="5" hidden="1">#REF!</definedName>
    <definedName name="XRefCopy1Row" localSheetId="6" hidden="1">#REF!</definedName>
    <definedName name="XRefCopy1Row" hidden="1">#REF!</definedName>
    <definedName name="XRefCopy2" localSheetId="4" hidden="1">#REF!</definedName>
    <definedName name="XRefCopy2" localSheetId="5" hidden="1">#REF!</definedName>
    <definedName name="XRefCopy2" localSheetId="6" hidden="1">#REF!</definedName>
    <definedName name="XRefCopy2" hidden="1">#REF!</definedName>
    <definedName name="XRefCopy20" localSheetId="4" hidden="1">#REF!</definedName>
    <definedName name="XRefCopy20" localSheetId="5" hidden="1">#REF!</definedName>
    <definedName name="XRefCopy20" localSheetId="6" hidden="1">#REF!</definedName>
    <definedName name="XRefCopy20" hidden="1">#REF!</definedName>
    <definedName name="XRefCopy20Row" localSheetId="4" hidden="1">#REF!</definedName>
    <definedName name="XRefCopy20Row" localSheetId="5" hidden="1">#REF!</definedName>
    <definedName name="XRefCopy20Row" localSheetId="6" hidden="1">#REF!</definedName>
    <definedName name="XRefCopy20Row" hidden="1">#REF!</definedName>
    <definedName name="XRefCopy21" localSheetId="4" hidden="1">#REF!</definedName>
    <definedName name="XRefCopy21" localSheetId="5" hidden="1">#REF!</definedName>
    <definedName name="XRefCopy21" localSheetId="6" hidden="1">#REF!</definedName>
    <definedName name="XRefCopy21" hidden="1">#REF!</definedName>
    <definedName name="XRefCopy21Row" localSheetId="4" hidden="1">#REF!</definedName>
    <definedName name="XRefCopy21Row" localSheetId="5" hidden="1">#REF!</definedName>
    <definedName name="XRefCopy21Row" localSheetId="6" hidden="1">#REF!</definedName>
    <definedName name="XRefCopy21Row" hidden="1">#REF!</definedName>
    <definedName name="XRefCopy22" localSheetId="4" hidden="1">#REF!</definedName>
    <definedName name="XRefCopy22" localSheetId="5" hidden="1">#REF!</definedName>
    <definedName name="XRefCopy22" localSheetId="6" hidden="1">#REF!</definedName>
    <definedName name="XRefCopy22" hidden="1">#REF!</definedName>
    <definedName name="XRefCopy22Row" localSheetId="4" hidden="1">#REF!</definedName>
    <definedName name="XRefCopy22Row" localSheetId="5" hidden="1">#REF!</definedName>
    <definedName name="XRefCopy22Row" localSheetId="6" hidden="1">#REF!</definedName>
    <definedName name="XRefCopy22Row" hidden="1">#REF!</definedName>
    <definedName name="XRefCopy23" hidden="1">#REF!</definedName>
    <definedName name="XRefCopy24" localSheetId="4" hidden="1">#REF!</definedName>
    <definedName name="XRefCopy24" localSheetId="5" hidden="1">#REF!</definedName>
    <definedName name="XRefCopy24" localSheetId="6" hidden="1">#REF!</definedName>
    <definedName name="XRefCopy24" hidden="1">#REF!</definedName>
    <definedName name="XRefCopy24Row" localSheetId="4" hidden="1">#REF!</definedName>
    <definedName name="XRefCopy24Row" localSheetId="5" hidden="1">#REF!</definedName>
    <definedName name="XRefCopy24Row" localSheetId="6" hidden="1">#REF!</definedName>
    <definedName name="XRefCopy24Row" hidden="1">#REF!</definedName>
    <definedName name="XRefCopy25" localSheetId="4" hidden="1">#REF!</definedName>
    <definedName name="XRefCopy25" localSheetId="5" hidden="1">#REF!</definedName>
    <definedName name="XRefCopy25" localSheetId="6" hidden="1">#REF!</definedName>
    <definedName name="XRefCopy25" hidden="1">#REF!</definedName>
    <definedName name="XRefCopy25Row" localSheetId="4" hidden="1">#REF!</definedName>
    <definedName name="XRefCopy25Row" localSheetId="5" hidden="1">#REF!</definedName>
    <definedName name="XRefCopy25Row" localSheetId="6" hidden="1">#REF!</definedName>
    <definedName name="XRefCopy25Row" hidden="1">#REF!</definedName>
    <definedName name="XRefCopy26" hidden="1">#REF!</definedName>
    <definedName name="XRefCopy27" hidden="1">#REF!</definedName>
    <definedName name="XRefCopy2Row" localSheetId="4" hidden="1">#REF!</definedName>
    <definedName name="XRefCopy2Row" localSheetId="5" hidden="1">#REF!</definedName>
    <definedName name="XRefCopy2Row" localSheetId="6" hidden="1">#REF!</definedName>
    <definedName name="XRefCopy2Row" hidden="1">#REF!</definedName>
    <definedName name="XRefCopy3" localSheetId="4" hidden="1">#REF!</definedName>
    <definedName name="XRefCopy3" localSheetId="5" hidden="1">#REF!</definedName>
    <definedName name="XRefCopy3" localSheetId="6" hidden="1">#REF!</definedName>
    <definedName name="XRefCopy3" hidden="1">#REF!</definedName>
    <definedName name="XRefCopy31" localSheetId="4" hidden="1">#REF!</definedName>
    <definedName name="XRefCopy31" localSheetId="5" hidden="1">#REF!</definedName>
    <definedName name="XRefCopy31" localSheetId="6" hidden="1">#REF!</definedName>
    <definedName name="XRefCopy31" hidden="1">#REF!</definedName>
    <definedName name="XRefCopy31Row" localSheetId="4" hidden="1">#REF!</definedName>
    <definedName name="XRefCopy31Row" localSheetId="5" hidden="1">#REF!</definedName>
    <definedName name="XRefCopy31Row" localSheetId="6" hidden="1">#REF!</definedName>
    <definedName name="XRefCopy31Row" hidden="1">#REF!</definedName>
    <definedName name="XRefCopy32" localSheetId="4" hidden="1">#REF!</definedName>
    <definedName name="XRefCopy32" localSheetId="5" hidden="1">#REF!</definedName>
    <definedName name="XRefCopy32" localSheetId="6" hidden="1">#REF!</definedName>
    <definedName name="XRefCopy32" hidden="1">#REF!</definedName>
    <definedName name="XRefCopy32Row" localSheetId="4" hidden="1">#REF!</definedName>
    <definedName name="XRefCopy32Row" localSheetId="5" hidden="1">#REF!</definedName>
    <definedName name="XRefCopy32Row" localSheetId="6" hidden="1">#REF!</definedName>
    <definedName name="XRefCopy32Row" hidden="1">#REF!</definedName>
    <definedName name="XRefCopy33" localSheetId="4" hidden="1">#REF!</definedName>
    <definedName name="XRefCopy33" localSheetId="5" hidden="1">#REF!</definedName>
    <definedName name="XRefCopy33" localSheetId="6" hidden="1">#REF!</definedName>
    <definedName name="XRefCopy33" hidden="1">#REF!</definedName>
    <definedName name="XRefCopy33Row" localSheetId="4" hidden="1">#REF!</definedName>
    <definedName name="XRefCopy33Row" localSheetId="5" hidden="1">#REF!</definedName>
    <definedName name="XRefCopy33Row" localSheetId="6" hidden="1">#REF!</definedName>
    <definedName name="XRefCopy33Row" hidden="1">#REF!</definedName>
    <definedName name="XRefCopy34" localSheetId="4" hidden="1">#REF!</definedName>
    <definedName name="XRefCopy34" localSheetId="5" hidden="1">#REF!</definedName>
    <definedName name="XRefCopy34" localSheetId="6" hidden="1">#REF!</definedName>
    <definedName name="XRefCopy34" hidden="1">#REF!</definedName>
    <definedName name="XRefCopy34Row" localSheetId="4" hidden="1">#REF!</definedName>
    <definedName name="XRefCopy34Row" localSheetId="5" hidden="1">#REF!</definedName>
    <definedName name="XRefCopy34Row" localSheetId="6" hidden="1">#REF!</definedName>
    <definedName name="XRefCopy34Row" hidden="1">#REF!</definedName>
    <definedName name="XRefCopy35" localSheetId="4" hidden="1">#REF!</definedName>
    <definedName name="XRefCopy35" localSheetId="5" hidden="1">#REF!</definedName>
    <definedName name="XRefCopy35" localSheetId="6" hidden="1">#REF!</definedName>
    <definedName name="XRefCopy35" hidden="1">#REF!</definedName>
    <definedName name="XRefCopy35Row" localSheetId="4" hidden="1">#REF!</definedName>
    <definedName name="XRefCopy35Row" localSheetId="5" hidden="1">#REF!</definedName>
    <definedName name="XRefCopy35Row" localSheetId="6" hidden="1">#REF!</definedName>
    <definedName name="XRefCopy35Row" hidden="1">#REF!</definedName>
    <definedName name="XRefCopy36" localSheetId="4" hidden="1">#REF!</definedName>
    <definedName name="XRefCopy36" localSheetId="5" hidden="1">#REF!</definedName>
    <definedName name="XRefCopy36" localSheetId="6" hidden="1">#REF!</definedName>
    <definedName name="XRefCopy36" hidden="1">#REF!</definedName>
    <definedName name="XRefCopy36Row" localSheetId="4" hidden="1">#REF!</definedName>
    <definedName name="XRefCopy36Row" localSheetId="5" hidden="1">#REF!</definedName>
    <definedName name="XRefCopy36Row" localSheetId="6" hidden="1">#REF!</definedName>
    <definedName name="XRefCopy36Row" hidden="1">#REF!</definedName>
    <definedName name="XRefCopy37" localSheetId="4" hidden="1">#REF!</definedName>
    <definedName name="XRefCopy37" localSheetId="5" hidden="1">#REF!</definedName>
    <definedName name="XRefCopy37" localSheetId="6" hidden="1">#REF!</definedName>
    <definedName name="XRefCopy37" hidden="1">#REF!</definedName>
    <definedName name="XRefCopy37Row" localSheetId="4" hidden="1">#REF!</definedName>
    <definedName name="XRefCopy37Row" localSheetId="5" hidden="1">#REF!</definedName>
    <definedName name="XRefCopy37Row" localSheetId="6" hidden="1">#REF!</definedName>
    <definedName name="XRefCopy37Row" hidden="1">#REF!</definedName>
    <definedName name="XRefCopy38" localSheetId="4" hidden="1">#REF!</definedName>
    <definedName name="XRefCopy38" localSheetId="5" hidden="1">#REF!</definedName>
    <definedName name="XRefCopy38" localSheetId="6" hidden="1">#REF!</definedName>
    <definedName name="XRefCopy38" hidden="1">#REF!</definedName>
    <definedName name="XRefCopy38Row" localSheetId="4" hidden="1">#REF!</definedName>
    <definedName name="XRefCopy38Row" localSheetId="5" hidden="1">#REF!</definedName>
    <definedName name="XRefCopy38Row" localSheetId="6" hidden="1">#REF!</definedName>
    <definedName name="XRefCopy38Row" hidden="1">#REF!</definedName>
    <definedName name="XRefCopy3Row" localSheetId="4" hidden="1">#REF!</definedName>
    <definedName name="XRefCopy3Row" localSheetId="5" hidden="1">#REF!</definedName>
    <definedName name="XRefCopy3Row" localSheetId="6" hidden="1">#REF!</definedName>
    <definedName name="XRefCopy3Row" hidden="1">#REF!</definedName>
    <definedName name="XRefCopy4" localSheetId="4" hidden="1">#REF!</definedName>
    <definedName name="XRefCopy4" localSheetId="5" hidden="1">#REF!</definedName>
    <definedName name="XRefCopy4" localSheetId="6" hidden="1">#REF!</definedName>
    <definedName name="XRefCopy4" hidden="1">#REF!</definedName>
    <definedName name="XRefCopy4Row" localSheetId="4" hidden="1">#REF!</definedName>
    <definedName name="XRefCopy4Row" localSheetId="5" hidden="1">#REF!</definedName>
    <definedName name="XRefCopy4Row" localSheetId="6" hidden="1">#REF!</definedName>
    <definedName name="XRefCopy4Row" hidden="1">#REF!</definedName>
    <definedName name="XRefCopy5" localSheetId="4" hidden="1">#REF!</definedName>
    <definedName name="XRefCopy5" localSheetId="5" hidden="1">#REF!</definedName>
    <definedName name="XRefCopy5" localSheetId="6" hidden="1">#REF!</definedName>
    <definedName name="XRefCopy5" hidden="1">#REF!</definedName>
    <definedName name="XRefCopy5Row" localSheetId="4" hidden="1">#REF!</definedName>
    <definedName name="XRefCopy5Row" localSheetId="5" hidden="1">#REF!</definedName>
    <definedName name="XRefCopy5Row" localSheetId="6" hidden="1">#REF!</definedName>
    <definedName name="XRefCopy5Row" hidden="1">#REF!</definedName>
    <definedName name="XRefCopy6" localSheetId="4" hidden="1">#REF!</definedName>
    <definedName name="XRefCopy6" localSheetId="5" hidden="1">#REF!</definedName>
    <definedName name="XRefCopy6" localSheetId="6" hidden="1">#REF!</definedName>
    <definedName name="XRefCopy6" hidden="1">#REF!</definedName>
    <definedName name="XRefCopy6Row" localSheetId="4" hidden="1">#REF!</definedName>
    <definedName name="XRefCopy6Row" localSheetId="5" hidden="1">#REF!</definedName>
    <definedName name="XRefCopy6Row" localSheetId="6" hidden="1">#REF!</definedName>
    <definedName name="XRefCopy6Row" hidden="1">#REF!</definedName>
    <definedName name="XRefCopy7" localSheetId="4" hidden="1">#REF!</definedName>
    <definedName name="XRefCopy7" localSheetId="5" hidden="1">#REF!</definedName>
    <definedName name="XRefCopy7" localSheetId="6" hidden="1">#REF!</definedName>
    <definedName name="XRefCopy7" hidden="1">#REF!</definedName>
    <definedName name="XRefCopy7Row" localSheetId="4" hidden="1">#REF!</definedName>
    <definedName name="XRefCopy7Row" localSheetId="5" hidden="1">#REF!</definedName>
    <definedName name="XRefCopy7Row" localSheetId="6" hidden="1">#REF!</definedName>
    <definedName name="XRefCopy7Row" hidden="1">#REF!</definedName>
    <definedName name="XRefCopy8" hidden="1">#REF!</definedName>
    <definedName name="XRefCopy9" localSheetId="4" hidden="1">#REF!</definedName>
    <definedName name="XRefCopy9" localSheetId="5" hidden="1">#REF!</definedName>
    <definedName name="XRefCopy9" localSheetId="6" hidden="1">#REF!</definedName>
    <definedName name="XRefCopy9" hidden="1">#REF!</definedName>
    <definedName name="XRefCopy9Row" localSheetId="4" hidden="1">#REF!</definedName>
    <definedName name="XRefCopy9Row" localSheetId="5" hidden="1">#REF!</definedName>
    <definedName name="XRefCopy9Row" localSheetId="6" hidden="1">#REF!</definedName>
    <definedName name="XRefCopy9Row" hidden="1">#REF!</definedName>
    <definedName name="XRefCopyRangeCount" hidden="1">15</definedName>
    <definedName name="XRefPaste1" localSheetId="4" hidden="1">#REF!</definedName>
    <definedName name="XRefPaste1" localSheetId="5" hidden="1">#REF!</definedName>
    <definedName name="XRefPaste1" localSheetId="6" hidden="1">#REF!</definedName>
    <definedName name="XRefPaste1" hidden="1">#REF!</definedName>
    <definedName name="XRefPaste10" localSheetId="4" hidden="1">#REF!</definedName>
    <definedName name="XRefPaste10" localSheetId="5" hidden="1">#REF!</definedName>
    <definedName name="XRefPaste10" localSheetId="6" hidden="1">#REF!</definedName>
    <definedName name="XRefPaste10" hidden="1">#REF!</definedName>
    <definedName name="XRefPaste10Row" localSheetId="4" hidden="1">#REF!</definedName>
    <definedName name="XRefPaste10Row" localSheetId="5" hidden="1">#REF!</definedName>
    <definedName name="XRefPaste10Row" localSheetId="6" hidden="1">#REF!</definedName>
    <definedName name="XRefPaste10Row" hidden="1">#REF!</definedName>
    <definedName name="XRefPaste11" localSheetId="4" hidden="1">#REF!</definedName>
    <definedName name="XRefPaste11" localSheetId="5" hidden="1">#REF!</definedName>
    <definedName name="XRefPaste11" localSheetId="6" hidden="1">#REF!</definedName>
    <definedName name="XRefPaste11" hidden="1">#REF!</definedName>
    <definedName name="XRefPaste11Row" localSheetId="4" hidden="1">#REF!</definedName>
    <definedName name="XRefPaste11Row" localSheetId="5" hidden="1">#REF!</definedName>
    <definedName name="XRefPaste11Row" localSheetId="6" hidden="1">#REF!</definedName>
    <definedName name="XRefPaste11Row" hidden="1">#REF!</definedName>
    <definedName name="XRefPaste12" localSheetId="4" hidden="1">#REF!</definedName>
    <definedName name="XRefPaste12" localSheetId="5" hidden="1">#REF!</definedName>
    <definedName name="XRefPaste12" localSheetId="6" hidden="1">#REF!</definedName>
    <definedName name="XRefPaste12" hidden="1">#REF!</definedName>
    <definedName name="XRefPaste12Row" localSheetId="4" hidden="1">#REF!</definedName>
    <definedName name="XRefPaste12Row" localSheetId="5" hidden="1">#REF!</definedName>
    <definedName name="XRefPaste12Row" localSheetId="6" hidden="1">#REF!</definedName>
    <definedName name="XRefPaste12Row" hidden="1">#REF!</definedName>
    <definedName name="XRefPaste13" localSheetId="4" hidden="1">#REF!</definedName>
    <definedName name="XRefPaste13" localSheetId="5" hidden="1">#REF!</definedName>
    <definedName name="XRefPaste13" localSheetId="6" hidden="1">#REF!</definedName>
    <definedName name="XRefPaste13" hidden="1">#REF!</definedName>
    <definedName name="XRefPaste13Row" localSheetId="4" hidden="1">#REF!</definedName>
    <definedName name="XRefPaste13Row" localSheetId="5" hidden="1">#REF!</definedName>
    <definedName name="XRefPaste13Row" localSheetId="6" hidden="1">#REF!</definedName>
    <definedName name="XRefPaste13Row" hidden="1">#REF!</definedName>
    <definedName name="XRefPaste15" localSheetId="4" hidden="1">#REF!</definedName>
    <definedName name="XRefPaste15" localSheetId="5" hidden="1">#REF!</definedName>
    <definedName name="XRefPaste15" localSheetId="6" hidden="1">#REF!</definedName>
    <definedName name="XRefPaste15" hidden="1">#REF!</definedName>
    <definedName name="XRefPaste15Row" localSheetId="4" hidden="1">#REF!</definedName>
    <definedName name="XRefPaste15Row" localSheetId="5" hidden="1">#REF!</definedName>
    <definedName name="XRefPaste15Row" localSheetId="6" hidden="1">#REF!</definedName>
    <definedName name="XRefPaste15Row" hidden="1">#REF!</definedName>
    <definedName name="XRefPaste16" localSheetId="4" hidden="1">#REF!</definedName>
    <definedName name="XRefPaste16" localSheetId="5" hidden="1">#REF!</definedName>
    <definedName name="XRefPaste16" localSheetId="6" hidden="1">#REF!</definedName>
    <definedName name="XRefPaste16" hidden="1">#REF!</definedName>
    <definedName name="XRefPaste16Row" localSheetId="4" hidden="1">#REF!</definedName>
    <definedName name="XRefPaste16Row" localSheetId="5" hidden="1">#REF!</definedName>
    <definedName name="XRefPaste16Row" localSheetId="6" hidden="1">#REF!</definedName>
    <definedName name="XRefPaste16Row" hidden="1">#REF!</definedName>
    <definedName name="XRefPaste17" localSheetId="4" hidden="1">#REF!</definedName>
    <definedName name="XRefPaste17" localSheetId="5" hidden="1">#REF!</definedName>
    <definedName name="XRefPaste17" localSheetId="6" hidden="1">#REF!</definedName>
    <definedName name="XRefPaste17" hidden="1">#REF!</definedName>
    <definedName name="XRefPaste17Row" localSheetId="4" hidden="1">#REF!</definedName>
    <definedName name="XRefPaste17Row" localSheetId="5" hidden="1">#REF!</definedName>
    <definedName name="XRefPaste17Row" localSheetId="6" hidden="1">#REF!</definedName>
    <definedName name="XRefPaste17Row" hidden="1">#REF!</definedName>
    <definedName name="XRefPaste18" localSheetId="4" hidden="1">#REF!</definedName>
    <definedName name="XRefPaste18" localSheetId="5" hidden="1">#REF!</definedName>
    <definedName name="XRefPaste18" localSheetId="6" hidden="1">#REF!</definedName>
    <definedName name="XRefPaste18" hidden="1">#REF!</definedName>
    <definedName name="XRefPaste18Row" localSheetId="4" hidden="1">#REF!</definedName>
    <definedName name="XRefPaste18Row" localSheetId="5" hidden="1">#REF!</definedName>
    <definedName name="XRefPaste18Row" localSheetId="6" hidden="1">#REF!</definedName>
    <definedName name="XRefPaste18Row" hidden="1">#REF!</definedName>
    <definedName name="XRefPaste19" localSheetId="4" hidden="1">#REF!</definedName>
    <definedName name="XRefPaste19" localSheetId="5" hidden="1">#REF!</definedName>
    <definedName name="XRefPaste19" localSheetId="6" hidden="1">#REF!</definedName>
    <definedName name="XRefPaste19" hidden="1">#REF!</definedName>
    <definedName name="XRefPaste19Row" localSheetId="4" hidden="1">#REF!</definedName>
    <definedName name="XRefPaste19Row" localSheetId="5" hidden="1">#REF!</definedName>
    <definedName name="XRefPaste19Row" localSheetId="6" hidden="1">#REF!</definedName>
    <definedName name="XRefPaste19Row" hidden="1">#REF!</definedName>
    <definedName name="XRefPaste1Row" localSheetId="4" hidden="1">#REF!</definedName>
    <definedName name="XRefPaste1Row" localSheetId="5" hidden="1">#REF!</definedName>
    <definedName name="XRefPaste1Row" localSheetId="6" hidden="1">#REF!</definedName>
    <definedName name="XRefPaste1Row" hidden="1">#REF!</definedName>
    <definedName name="XRefPaste2" hidden="1">#REF!</definedName>
    <definedName name="XRefPaste20" localSheetId="4" hidden="1">#REF!</definedName>
    <definedName name="XRefPaste20" localSheetId="5" hidden="1">#REF!</definedName>
    <definedName name="XRefPaste20" localSheetId="6" hidden="1">#REF!</definedName>
    <definedName name="XRefPaste20" hidden="1">#REF!</definedName>
    <definedName name="XRefPaste20Row" localSheetId="4" hidden="1">#REF!</definedName>
    <definedName name="XRefPaste20Row" localSheetId="5" hidden="1">#REF!</definedName>
    <definedName name="XRefPaste20Row" localSheetId="6" hidden="1">#REF!</definedName>
    <definedName name="XRefPaste20Row" hidden="1">#REF!</definedName>
    <definedName name="XRefPaste21" localSheetId="4" hidden="1">#REF!</definedName>
    <definedName name="XRefPaste21" localSheetId="5" hidden="1">#REF!</definedName>
    <definedName name="XRefPaste21" localSheetId="6" hidden="1">#REF!</definedName>
    <definedName name="XRefPaste21" hidden="1">#REF!</definedName>
    <definedName name="XRefPaste21Row" localSheetId="4" hidden="1">#REF!</definedName>
    <definedName name="XRefPaste21Row" localSheetId="5" hidden="1">#REF!</definedName>
    <definedName name="XRefPaste21Row" localSheetId="6" hidden="1">#REF!</definedName>
    <definedName name="XRefPaste21Row" hidden="1">#REF!</definedName>
    <definedName name="XRefPaste22" localSheetId="4" hidden="1">#REF!</definedName>
    <definedName name="XRefPaste22" localSheetId="5" hidden="1">#REF!</definedName>
    <definedName name="XRefPaste22" localSheetId="6" hidden="1">#REF!</definedName>
    <definedName name="XRefPaste22" hidden="1">#REF!</definedName>
    <definedName name="XRefPaste22Row" localSheetId="4" hidden="1">#REF!</definedName>
    <definedName name="XRefPaste22Row" localSheetId="5" hidden="1">#REF!</definedName>
    <definedName name="XRefPaste22Row" localSheetId="6" hidden="1">#REF!</definedName>
    <definedName name="XRefPaste22Row" hidden="1">#REF!</definedName>
    <definedName name="XRefPaste23" localSheetId="4" hidden="1">#REF!</definedName>
    <definedName name="XRefPaste23" localSheetId="5" hidden="1">#REF!</definedName>
    <definedName name="XRefPaste23" localSheetId="6" hidden="1">#REF!</definedName>
    <definedName name="XRefPaste23" hidden="1">#REF!</definedName>
    <definedName name="XRefPaste23Row" localSheetId="4" hidden="1">#REF!</definedName>
    <definedName name="XRefPaste23Row" localSheetId="5" hidden="1">#REF!</definedName>
    <definedName name="XRefPaste23Row" localSheetId="6" hidden="1">#REF!</definedName>
    <definedName name="XRefPaste23Row" hidden="1">#REF!</definedName>
    <definedName name="XRefPaste24" localSheetId="4" hidden="1">#REF!</definedName>
    <definedName name="XRefPaste24" localSheetId="5" hidden="1">#REF!</definedName>
    <definedName name="XRefPaste24" localSheetId="6" hidden="1">#REF!</definedName>
    <definedName name="XRefPaste24" hidden="1">#REF!</definedName>
    <definedName name="XRefPaste24Row" localSheetId="4" hidden="1">#REF!</definedName>
    <definedName name="XRefPaste24Row" localSheetId="5" hidden="1">#REF!</definedName>
    <definedName name="XRefPaste24Row" localSheetId="6" hidden="1">#REF!</definedName>
    <definedName name="XRefPaste24Row" hidden="1">#REF!</definedName>
    <definedName name="XRefPaste25" localSheetId="4" hidden="1">#REF!</definedName>
    <definedName name="XRefPaste25" localSheetId="5" hidden="1">#REF!</definedName>
    <definedName name="XRefPaste25" localSheetId="6" hidden="1">#REF!</definedName>
    <definedName name="XRefPaste25" hidden="1">#REF!</definedName>
    <definedName name="XRefPaste25Row" localSheetId="4" hidden="1">#REF!</definedName>
    <definedName name="XRefPaste25Row" localSheetId="5" hidden="1">#REF!</definedName>
    <definedName name="XRefPaste25Row" localSheetId="6" hidden="1">#REF!</definedName>
    <definedName name="XRefPaste25Row" hidden="1">#REF!</definedName>
    <definedName name="XRefPaste3" localSheetId="4" hidden="1">#REF!</definedName>
    <definedName name="XRefPaste3" localSheetId="5" hidden="1">#REF!</definedName>
    <definedName name="XRefPaste3" localSheetId="6" hidden="1">#REF!</definedName>
    <definedName name="XRefPaste3" hidden="1">#REF!</definedName>
    <definedName name="XRefPaste3Row" localSheetId="4" hidden="1">#REF!</definedName>
    <definedName name="XRefPaste3Row" localSheetId="5" hidden="1">#REF!</definedName>
    <definedName name="XRefPaste3Row" localSheetId="6" hidden="1">#REF!</definedName>
    <definedName name="XRefPaste3Row" hidden="1">#REF!</definedName>
    <definedName name="XRefPaste4" hidden="1">#REF!</definedName>
    <definedName name="XRefPaste5" localSheetId="4" hidden="1">#REF!</definedName>
    <definedName name="XRefPaste5" localSheetId="5" hidden="1">#REF!</definedName>
    <definedName name="XRefPaste5" localSheetId="6" hidden="1">#REF!</definedName>
    <definedName name="XRefPaste5" hidden="1">#REF!</definedName>
    <definedName name="XRefPaste5Row" localSheetId="4" hidden="1">#REF!</definedName>
    <definedName name="XRefPaste5Row" localSheetId="5" hidden="1">#REF!</definedName>
    <definedName name="XRefPaste5Row" localSheetId="6" hidden="1">#REF!</definedName>
    <definedName name="XRefPaste5Row" hidden="1">#REF!</definedName>
    <definedName name="XRefPaste6" localSheetId="4" hidden="1">#REF!</definedName>
    <definedName name="XRefPaste6" localSheetId="5" hidden="1">#REF!</definedName>
    <definedName name="XRefPaste6" localSheetId="6" hidden="1">#REF!</definedName>
    <definedName name="XRefPaste6" hidden="1">#REF!</definedName>
    <definedName name="XRefPaste6Row" localSheetId="4" hidden="1">#REF!</definedName>
    <definedName name="XRefPaste6Row" localSheetId="5" hidden="1">#REF!</definedName>
    <definedName name="XRefPaste6Row" localSheetId="6" hidden="1">#REF!</definedName>
    <definedName name="XRefPaste6Row" hidden="1">#REF!</definedName>
    <definedName name="XRefPaste7" localSheetId="4" hidden="1">#REF!</definedName>
    <definedName name="XRefPaste7" localSheetId="5" hidden="1">#REF!</definedName>
    <definedName name="XRefPaste7" localSheetId="6" hidden="1">#REF!</definedName>
    <definedName name="XRefPaste7" hidden="1">#REF!</definedName>
    <definedName name="XRefPaste7Row" localSheetId="4" hidden="1">#REF!</definedName>
    <definedName name="XRefPaste7Row" localSheetId="5" hidden="1">#REF!</definedName>
    <definedName name="XRefPaste7Row" localSheetId="6" hidden="1">#REF!</definedName>
    <definedName name="XRefPaste7Row" hidden="1">#REF!</definedName>
    <definedName name="XRefPaste8" localSheetId="4" hidden="1">#REF!</definedName>
    <definedName name="XRefPaste8" localSheetId="5" hidden="1">#REF!</definedName>
    <definedName name="XRefPaste8" localSheetId="6" hidden="1">#REF!</definedName>
    <definedName name="XRefPaste8" hidden="1">#REF!</definedName>
    <definedName name="XRefPaste8Row" localSheetId="4" hidden="1">#REF!</definedName>
    <definedName name="XRefPaste8Row" localSheetId="5" hidden="1">#REF!</definedName>
    <definedName name="XRefPaste8Row" localSheetId="6" hidden="1">#REF!</definedName>
    <definedName name="XRefPaste8Row" hidden="1">#REF!</definedName>
    <definedName name="XRefPaste9" localSheetId="4" hidden="1">#REF!</definedName>
    <definedName name="XRefPaste9" localSheetId="5" hidden="1">#REF!</definedName>
    <definedName name="XRefPaste9" localSheetId="6" hidden="1">#REF!</definedName>
    <definedName name="XRefPaste9" hidden="1">#REF!</definedName>
    <definedName name="XRefPaste9Row" localSheetId="4" hidden="1">#REF!</definedName>
    <definedName name="XRefPaste9Row" localSheetId="5" hidden="1">#REF!</definedName>
    <definedName name="XRefPaste9Row" localSheetId="6" hidden="1">#REF!</definedName>
    <definedName name="XRefPaste9Row" hidden="1">#REF!</definedName>
    <definedName name="XRefPasteRangeCount" hidden="1">24</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0" i="62" l="1"/>
  <c r="E29" i="62"/>
  <c r="E28" i="62"/>
  <c r="E29" i="63" l="1"/>
  <c r="E34" i="62" l="1"/>
  <c r="E14" i="63" l="1"/>
  <c r="I32" i="51" l="1"/>
  <c r="C4" i="51" l="1"/>
  <c r="C3" i="51"/>
  <c r="G20" i="48"/>
  <c r="F20" i="48"/>
  <c r="O30" i="62" l="1"/>
  <c r="N30" i="62"/>
  <c r="M30" i="62"/>
  <c r="O29" i="62"/>
  <c r="N29" i="62"/>
  <c r="M29" i="62"/>
  <c r="O28" i="62"/>
  <c r="N28" i="62"/>
  <c r="M28" i="62"/>
  <c r="F46" i="65" l="1"/>
  <c r="F46" i="64"/>
  <c r="F47" i="63"/>
  <c r="K4" i="65" l="1"/>
  <c r="J4" i="65"/>
  <c r="I4" i="65"/>
  <c r="K4" i="64"/>
  <c r="J4" i="64"/>
  <c r="I4" i="64"/>
  <c r="K4" i="63"/>
  <c r="J4" i="63"/>
  <c r="I4" i="63"/>
  <c r="H4" i="62"/>
  <c r="G4" i="62"/>
  <c r="F4" i="62"/>
  <c r="C4" i="65" l="1"/>
  <c r="C3" i="65"/>
  <c r="C4" i="64"/>
  <c r="C3" i="64"/>
  <c r="C4" i="63"/>
  <c r="C3" i="63"/>
  <c r="C4" i="62"/>
  <c r="C3" i="62"/>
  <c r="C4" i="48"/>
  <c r="C3" i="48"/>
  <c r="E90" i="65"/>
  <c r="G89" i="65"/>
  <c r="E88" i="65"/>
  <c r="E83" i="65"/>
  <c r="E82" i="65"/>
  <c r="E89" i="65" s="1"/>
  <c r="E74" i="65"/>
  <c r="E80" i="65" s="1"/>
  <c r="G68" i="65"/>
  <c r="E67" i="65"/>
  <c r="E54" i="65"/>
  <c r="E48" i="65"/>
  <c r="H30" i="62" s="1"/>
  <c r="C48" i="65"/>
  <c r="E14" i="65"/>
  <c r="E55" i="65" s="1"/>
  <c r="C14" i="65"/>
  <c r="E90" i="64"/>
  <c r="G89" i="64"/>
  <c r="E88" i="64"/>
  <c r="E83" i="64"/>
  <c r="E82" i="64"/>
  <c r="E89" i="64" s="1"/>
  <c r="E74" i="64"/>
  <c r="E80" i="64" s="1"/>
  <c r="G68" i="64"/>
  <c r="E67" i="64"/>
  <c r="E54" i="64"/>
  <c r="E48" i="64"/>
  <c r="H29" i="62" s="1"/>
  <c r="C48" i="64"/>
  <c r="E14" i="64"/>
  <c r="E81" i="64" s="1"/>
  <c r="C14" i="64"/>
  <c r="E91" i="63"/>
  <c r="G90" i="63"/>
  <c r="E89" i="63"/>
  <c r="E84" i="63"/>
  <c r="E83" i="63"/>
  <c r="E90" i="63" s="1"/>
  <c r="E75" i="63"/>
  <c r="E81" i="63" s="1"/>
  <c r="G69" i="63"/>
  <c r="E68" i="63"/>
  <c r="E55" i="63"/>
  <c r="E49" i="63"/>
  <c r="C49" i="63"/>
  <c r="E56" i="63"/>
  <c r="C14" i="63"/>
  <c r="E33" i="62"/>
  <c r="L30" i="62"/>
  <c r="K30" i="62"/>
  <c r="J30" i="62"/>
  <c r="F30" i="62"/>
  <c r="L29" i="62"/>
  <c r="K29" i="62"/>
  <c r="J29" i="62"/>
  <c r="F29" i="62"/>
  <c r="L28" i="62"/>
  <c r="K28" i="62"/>
  <c r="J28" i="62"/>
  <c r="H28" i="62"/>
  <c r="F28" i="62"/>
  <c r="E81" i="65" l="1"/>
  <c r="E56" i="65"/>
  <c r="E57" i="65" s="1"/>
  <c r="I30" i="62" s="1"/>
  <c r="E57" i="63"/>
  <c r="E58" i="63" s="1"/>
  <c r="I28" i="62" s="1"/>
  <c r="E82" i="63"/>
  <c r="E55" i="64"/>
  <c r="E56" i="64" s="1"/>
  <c r="G29" i="62" s="1"/>
  <c r="G30" i="62"/>
  <c r="E68" i="65" l="1"/>
  <c r="E69" i="65" s="1"/>
  <c r="G28" i="62"/>
  <c r="E69" i="63"/>
  <c r="E70" i="63" s="1"/>
  <c r="E57" i="64"/>
  <c r="I29" i="62" s="1"/>
  <c r="E68" i="64"/>
  <c r="E69" i="64" s="1"/>
  <c r="I33" i="51" l="1"/>
  <c r="I34" i="51" s="1"/>
  <c r="I35" i="51" s="1"/>
  <c r="I36" i="51" s="1"/>
  <c r="I37" i="51" s="1"/>
  <c r="I38" i="51" s="1"/>
  <c r="I39" i="51" s="1"/>
  <c r="I40" i="51" s="1"/>
  <c r="I41" i="51" s="1"/>
  <c r="I42" i="51" s="1"/>
  <c r="G43" i="51"/>
  <c r="G42" i="51"/>
  <c r="G41" i="51"/>
  <c r="G40" i="51"/>
  <c r="G39" i="51"/>
  <c r="G38" i="51"/>
  <c r="G37" i="51"/>
  <c r="G36" i="51"/>
  <c r="G35" i="51"/>
  <c r="G34" i="51"/>
  <c r="G33" i="51"/>
  <c r="G32" i="51"/>
  <c r="E44" i="51"/>
  <c r="D44" i="51"/>
  <c r="I43" i="51" l="1"/>
  <c r="H32" i="51" s="1"/>
  <c r="E35" i="62"/>
  <c r="G44" i="51"/>
  <c r="I44" i="51" l="1"/>
  <c r="H33" i="51"/>
  <c r="J33" i="51" s="1"/>
  <c r="J32" i="51"/>
  <c r="H34" i="51" l="1"/>
  <c r="J34" i="51" s="1"/>
  <c r="H35" i="51"/>
  <c r="J35" i="51" l="1"/>
  <c r="H36" i="51"/>
  <c r="H37" i="51" l="1"/>
  <c r="J36" i="51"/>
  <c r="J37" i="51" l="1"/>
  <c r="H38" i="51"/>
  <c r="H39" i="51" l="1"/>
  <c r="J38" i="51"/>
  <c r="J39" i="51" l="1"/>
  <c r="H40" i="51"/>
  <c r="H41" i="51" l="1"/>
  <c r="J40" i="51"/>
  <c r="J41" i="51" l="1"/>
  <c r="H42" i="51"/>
  <c r="H43" i="51" l="1"/>
  <c r="J42" i="51"/>
  <c r="J43" i="51" l="1"/>
  <c r="H44" i="51"/>
  <c r="J44" i="5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47" authorId="0" shapeId="0" xr:uid="{00000000-0006-0000-0300-000006000000}">
      <text>
        <r>
          <rPr>
            <b/>
            <sz val="9"/>
            <color indexed="81"/>
            <rFont val="Tahoma"/>
            <family val="2"/>
          </rPr>
          <t xml:space="preserve">Threshold Calculator_x000D_
xx/xx/xxxx
</t>
        </r>
        <r>
          <rPr>
            <sz val="9"/>
            <color indexed="81"/>
            <rFont val="Tahoma"/>
            <family val="2"/>
          </rPr>
          <t>Performance materiality:  value: xxxxxx_x000D_
Population:  value: xxxxxx_x000D_
Risk classification: Significant / Higher / Lower_x000D_
Risk level: xxxxxx
Substantive Analytical Procedure Threshold: xxxxxx</t>
        </r>
      </text>
    </comment>
  </commentList>
</comments>
</file>

<file path=xl/sharedStrings.xml><?xml version="1.0" encoding="utf-8"?>
<sst xmlns="http://schemas.openxmlformats.org/spreadsheetml/2006/main" count="528" uniqueCount="252">
  <si>
    <t>[Insert Dynamic EMS Links]</t>
  </si>
  <si>
    <t>Company</t>
  </si>
  <si>
    <t>ABC Inc.</t>
  </si>
  <si>
    <t>Materiality</t>
  </si>
  <si>
    <t>Performance Materiality</t>
  </si>
  <si>
    <t>CTT</t>
  </si>
  <si>
    <t>Year-End</t>
  </si>
  <si>
    <t>12/31/20XX</t>
  </si>
  <si>
    <t>ABCOTD</t>
  </si>
  <si>
    <t>REFERENCE TO GRA/SUBPHASE</t>
  </si>
  <si>
    <t>xxxxx</t>
  </si>
  <si>
    <t>BALANCE TESTED</t>
  </si>
  <si>
    <t>Insert TB link or link to Lead</t>
  </si>
  <si>
    <t>TESTING AS OF AN INTERIM DATE?</t>
  </si>
  <si>
    <t>[Select one]</t>
  </si>
  <si>
    <t>RoMM</t>
  </si>
  <si>
    <t>Risk Classification</t>
  </si>
  <si>
    <t>Procedure</t>
  </si>
  <si>
    <t>Control Reliance</t>
  </si>
  <si>
    <t>Assertions</t>
  </si>
  <si>
    <t>[Insert Dynamic EMS Link]</t>
  </si>
  <si>
    <t>Payroll expenses that have been recorded did not occur and/or do not pertain to the entity.</t>
  </si>
  <si>
    <t>Payroll expenses are incomplete.</t>
  </si>
  <si>
    <t>Payroll expenses are recorded at incorrect amounts.</t>
  </si>
  <si>
    <t>Payroll expenses are recorded in the incorrect period.</t>
  </si>
  <si>
    <t>Click here to return to Summary tab</t>
  </si>
  <si>
    <t>Conclusion</t>
  </si>
  <si>
    <t>Matters for attention</t>
  </si>
  <si>
    <t>Control deficiencies identified</t>
  </si>
  <si>
    <t>Purpose</t>
  </si>
  <si>
    <t>IPE</t>
  </si>
  <si>
    <t>&lt;1&gt;</t>
  </si>
  <si>
    <t>Difference</t>
  </si>
  <si>
    <t>Test of Details of a Report (as applicable)</t>
  </si>
  <si>
    <t>General Ledger Account Number</t>
  </si>
  <si>
    <t>General Ledger Description</t>
  </si>
  <si>
    <t>Total</t>
  </si>
  <si>
    <t>[Document considerations for determining the suitability of performing Substantive Analytical Procedures.]</t>
  </si>
  <si>
    <t>The following adjustment factors are used to develop an expectation for the balance of the disaggregated part subject to testing.</t>
  </si>
  <si>
    <t>Reference to supporting documentation</t>
  </si>
  <si>
    <t>Input salary increase:</t>
  </si>
  <si>
    <t>Average increase (in %)  in salary per year (if applicable)</t>
  </si>
  <si>
    <t>Average Headcount CY</t>
  </si>
  <si>
    <t>Average Headcount PY</t>
  </si>
  <si>
    <t>&lt;or&gt;</t>
  </si>
  <si>
    <t>If necessary to develop a sufficiently precise expectation:</t>
  </si>
  <si>
    <t>Pay Increase Adjustment</t>
  </si>
  <si>
    <t>Expectation</t>
  </si>
  <si>
    <t>Difference in %</t>
  </si>
  <si>
    <t>[calculated]</t>
  </si>
  <si>
    <t>Reference to IPE documentation</t>
  </si>
  <si>
    <t>January</t>
  </si>
  <si>
    <t>February</t>
  </si>
  <si>
    <t>March</t>
  </si>
  <si>
    <t>April</t>
  </si>
  <si>
    <t>May</t>
  </si>
  <si>
    <t>June</t>
  </si>
  <si>
    <t>July</t>
  </si>
  <si>
    <t>August</t>
  </si>
  <si>
    <t>September</t>
  </si>
  <si>
    <t>October</t>
  </si>
  <si>
    <t>November</t>
  </si>
  <si>
    <t>December</t>
  </si>
  <si>
    <t>Average</t>
  </si>
  <si>
    <t>Tickmarks</t>
  </si>
  <si>
    <t>{a}</t>
  </si>
  <si>
    <t>{b}</t>
  </si>
  <si>
    <t>{c}</t>
  </si>
  <si>
    <t>{d}</t>
  </si>
  <si>
    <t>{e}</t>
  </si>
  <si>
    <t>{f}</t>
  </si>
  <si>
    <t>{g}</t>
  </si>
  <si>
    <t>{h}</t>
  </si>
  <si>
    <t>{i}</t>
  </si>
  <si>
    <t>{j}</t>
  </si>
  <si>
    <t>{k}</t>
  </si>
  <si>
    <t>{l}</t>
  </si>
  <si>
    <t>{m}</t>
  </si>
  <si>
    <t>{n}</t>
  </si>
  <si>
    <t>{o}</t>
  </si>
  <si>
    <t>{p}</t>
  </si>
  <si>
    <t>{q}</t>
  </si>
  <si>
    <t>{r}</t>
  </si>
  <si>
    <t>{s}</t>
  </si>
  <si>
    <t>{t}</t>
  </si>
  <si>
    <t>{u}</t>
  </si>
  <si>
    <t>{v}</t>
  </si>
  <si>
    <t>{w}</t>
  </si>
  <si>
    <t>{x}</t>
  </si>
  <si>
    <t>{y}</t>
  </si>
  <si>
    <t>{z}</t>
  </si>
  <si>
    <t xml:space="preserve">No exceptions identified </t>
  </si>
  <si>
    <t>Yes</t>
  </si>
  <si>
    <t>Lower Risk</t>
  </si>
  <si>
    <t>None</t>
  </si>
  <si>
    <t>No differences requiring further investigation</t>
  </si>
  <si>
    <t>No Control Reliance</t>
  </si>
  <si>
    <t xml:space="preserve">Exceptions identified </t>
  </si>
  <si>
    <t>No</t>
  </si>
  <si>
    <t>Higher Risk</t>
  </si>
  <si>
    <t>Misstatement involving management estimate/judgment &gt; CTT</t>
  </si>
  <si>
    <t>Differences identified outside of the established threshold</t>
  </si>
  <si>
    <t>Significant Risk</t>
  </si>
  <si>
    <t>Factual misstatement &gt; CTT</t>
  </si>
  <si>
    <t>Extrapolated misstatement &gt; CTT</t>
  </si>
  <si>
    <t>Substantive analytical procedures misstatement &gt; CTT</t>
  </si>
  <si>
    <t>Reclassification &gt; CTT</t>
  </si>
  <si>
    <t>Prior-year misstatement identified in the current year &gt; CTT</t>
  </si>
  <si>
    <t>Multiple misstatements &gt; CTT</t>
  </si>
  <si>
    <t>Misstatement indicative of fraud</t>
  </si>
  <si>
    <t>Other (tickmark)</t>
  </si>
  <si>
    <t>Risk classification: Significant/Higher/Lower</t>
  </si>
  <si>
    <t>The accuracy of this report is addressed through selecting employees from the headcount report and obtaining the respective payslip to verify the employee was employed during the period of the report.</t>
  </si>
  <si>
    <t>The completeness of this report is addressed through tracing individual employees obtained from a reciprocal population to the report to verify if they were properly included/excluded.</t>
  </si>
  <si>
    <t xml:space="preserve"> </t>
  </si>
  <si>
    <t>Description</t>
  </si>
  <si>
    <t>[Higher/Lower]</t>
  </si>
  <si>
    <t>Determine the appropriate level of disaggregated parts (if applicable)</t>
  </si>
  <si>
    <t>Amount</t>
  </si>
  <si>
    <t>[Insert ABCOTD Name or Disaggregated Part]</t>
  </si>
  <si>
    <r>
      <t xml:space="preserve">REFERENCE TO ROLLFORWARD PROCEDURES </t>
    </r>
    <r>
      <rPr>
        <b/>
        <i/>
        <sz val="8"/>
        <color theme="0"/>
        <rFont val="Verdana"/>
        <family val="2"/>
      </rPr>
      <t>(if applicable)</t>
    </r>
  </si>
  <si>
    <t>Statistical</t>
  </si>
  <si>
    <t>Properly included</t>
  </si>
  <si>
    <t>Properly excluded</t>
  </si>
  <si>
    <t>Improperly included</t>
  </si>
  <si>
    <t>Satisfactory</t>
  </si>
  <si>
    <t>Improperly excluded</t>
  </si>
  <si>
    <t>Not Satisfactory</t>
  </si>
  <si>
    <t>New Employee</t>
  </si>
  <si>
    <t>Cluster</t>
  </si>
  <si>
    <t>Existing Employee</t>
  </si>
  <si>
    <t>Monetary Unit Sampling</t>
  </si>
  <si>
    <t>Haphazard</t>
  </si>
  <si>
    <t>Sequential (Stop-or-Go)</t>
  </si>
  <si>
    <t>Variable</t>
  </si>
  <si>
    <t>Estimation Sampling</t>
  </si>
  <si>
    <t>Attribute Sampling</t>
  </si>
  <si>
    <t>Cell Sampling</t>
  </si>
  <si>
    <t>Classical Variable Sampling</t>
  </si>
  <si>
    <t xml:space="preserve">Other </t>
  </si>
  <si>
    <t xml:space="preserve">SAP CONSIDERATIONS — PLANNING </t>
  </si>
  <si>
    <t>Determine the suitability of particular Substantive Analytical Procedures (including plausibility of relationship)</t>
  </si>
  <si>
    <t>[Document considerations for determining the level of disaggregated parts.]</t>
  </si>
  <si>
    <t xml:space="preserve">SAP CONSIDERATIONS — CONCLUDING </t>
  </si>
  <si>
    <r>
      <rPr>
        <b/>
        <sz val="8"/>
        <rFont val="Verdana"/>
        <family val="2"/>
        <scheme val="major"/>
      </rPr>
      <t xml:space="preserve">Review the results of the procedures performed, investigate differences, and evaluate results </t>
    </r>
    <r>
      <rPr>
        <sz val="8"/>
        <rFont val="Verdana"/>
        <family val="2"/>
        <scheme val="major"/>
      </rPr>
      <t xml:space="preserve">
</t>
    </r>
  </si>
  <si>
    <t>Disaggregated Parts for Testing</t>
  </si>
  <si>
    <t>Testing Tab</t>
  </si>
  <si>
    <t>Population</t>
  </si>
  <si>
    <t>Threshold</t>
  </si>
  <si>
    <t>Within Threshold?</t>
  </si>
  <si>
    <t>Adjusted Expectation</t>
  </si>
  <si>
    <t>Matters for Attention</t>
  </si>
  <si>
    <t>Control Deficiencies Identified</t>
  </si>
  <si>
    <t>Total of Disaggregated Parts</t>
  </si>
  <si>
    <t>Total of Balance Per General Ledger</t>
  </si>
  <si>
    <r>
      <t>To test relevant assertions related to the amount of [</t>
    </r>
    <r>
      <rPr>
        <i/>
        <sz val="8"/>
        <rFont val="Verdana"/>
        <family val="2"/>
      </rPr>
      <t>insert the ABCOTD or disaggregated part of ABCOTD tested</t>
    </r>
    <r>
      <rPr>
        <sz val="8"/>
        <rFont val="Verdana"/>
        <family val="2"/>
        <scheme val="major"/>
      </rPr>
      <t>] recorded.</t>
    </r>
  </si>
  <si>
    <t>Category</t>
  </si>
  <si>
    <t>B</t>
  </si>
  <si>
    <t>STEP 1</t>
  </si>
  <si>
    <t>Develop an expectation and evaluate whether the expectation is sufficiently precise.</t>
  </si>
  <si>
    <t>Inputs into Expectation</t>
  </si>
  <si>
    <t>Value</t>
  </si>
  <si>
    <t xml:space="preserve">Explanation for Input Used </t>
  </si>
  <si>
    <t>Data/IPE Used</t>
  </si>
  <si>
    <t>Deloitte expectation</t>
  </si>
  <si>
    <t>A</t>
  </si>
  <si>
    <t>STEP 2</t>
  </si>
  <si>
    <t>Evaluate the reliability of the data/IPE used.</t>
  </si>
  <si>
    <t>See IPE tab for documentation of the work performed to confirm the completeness and accuracy of IPE.</t>
  </si>
  <si>
    <t>STEP 3</t>
  </si>
  <si>
    <t>Determine the appropriate threshold.</t>
  </si>
  <si>
    <t xml:space="preserve">Threshold Calculation </t>
  </si>
  <si>
    <t>xx/xx/xxxx</t>
  </si>
  <si>
    <t>Performance materiality:  value: xxxxxx</t>
  </si>
  <si>
    <t>Population:  value: xxxxxx</t>
  </si>
  <si>
    <t>Risk level: xxxxxx</t>
  </si>
  <si>
    <t>Substantive analytical procedure threshold: xxxxxx</t>
  </si>
  <si>
    <t>Combination of Substantive Procedures</t>
  </si>
  <si>
    <t>Calculated threshold per threshold calculator</t>
  </si>
  <si>
    <t>Adjustments to threshold resulting from application of professional judgment (if any — describe)</t>
  </si>
  <si>
    <t>STEP 4</t>
  </si>
  <si>
    <t>Compare the expectation with the recorded amount.</t>
  </si>
  <si>
    <t xml:space="preserve">Deloitte expectation </t>
  </si>
  <si>
    <t>=A</t>
  </si>
  <si>
    <t>=B</t>
  </si>
  <si>
    <t>Variance</t>
  </si>
  <si>
    <t>=B-A</t>
  </si>
  <si>
    <t xml:space="preserve">Within threshold? </t>
  </si>
  <si>
    <t>STEP 5</t>
  </si>
  <si>
    <t>Identify and investigate differences requiring further investigation (if required).</t>
  </si>
  <si>
    <t xml:space="preserve">Identified Differences </t>
  </si>
  <si>
    <t>Supportive Evidence</t>
  </si>
  <si>
    <t>Misstatement Identified?</t>
  </si>
  <si>
    <t>Total differences identified</t>
  </si>
  <si>
    <t>Total variance</t>
  </si>
  <si>
    <t>Not investigated</t>
  </si>
  <si>
    <t>STEP 6</t>
  </si>
  <si>
    <t>Adjust expectation?</t>
  </si>
  <si>
    <t>Explanation</t>
  </si>
  <si>
    <t xml:space="preserve">Original Deloitte expectation </t>
  </si>
  <si>
    <t>Factors to adjust:</t>
  </si>
  <si>
    <t>Adjusted Deloitte expectation</t>
  </si>
  <si>
    <t>Identified Differences</t>
  </si>
  <si>
    <t>Test of Completeness 
(or specific attributes)</t>
  </si>
  <si>
    <t> Test of Accuracy (or specific attributes) </t>
  </si>
  <si>
    <t> Describe Nature of Procedures and, if Applicable, Extent </t>
  </si>
  <si>
    <t> Report Parameters </t>
  </si>
  <si>
    <t xml:space="preserve">Report Logic </t>
  </si>
  <si>
    <t> Report Logic </t>
  </si>
  <si>
    <t> Source Data </t>
  </si>
  <si>
    <t>Directly test the appropriateness of user-entered parameters or thresholds used to generate report (e.g., by observing entity personnel input the user-entered parameters, by reviewing the user-entered parameters depicted on the report or by comparing the IPE to relevant information in the system). </t>
  </si>
  <si>
    <t>Test the mathematical accuracy of the IPE and verify report logic on a sample basis (including formulas for extracting the relevant source data, creating the report and executing computations within the report). </t>
  </si>
  <si>
    <r>
      <rPr>
        <b/>
        <i/>
        <sz val="8"/>
        <rFont val="Verdana"/>
        <family val="2"/>
      </rPr>
      <t>ACCURACY</t>
    </r>
    <r>
      <rPr>
        <i/>
        <sz val="8"/>
        <rFont val="Verdana"/>
        <family val="2"/>
        <scheme val="major"/>
      </rPr>
      <t xml:space="preserve">: Directly test accuracy of the source data by selecting a sample of items from the report and agree back to appropriate source documentation (or relevant information in the system if audited).  
</t>
    </r>
    <r>
      <rPr>
        <b/>
        <i/>
        <sz val="8"/>
        <rFont val="Verdana"/>
        <family val="2"/>
        <scheme val="major"/>
      </rPr>
      <t>COMPLETENESS:</t>
    </r>
    <r>
      <rPr>
        <i/>
        <sz val="8"/>
        <rFont val="Verdana"/>
        <family val="2"/>
        <scheme val="major"/>
      </rPr>
      <t xml:space="preserve"> Directly test completeness of the source data by selecting a sample from the source documentation (or from a system if audited)  and agree back to the relevant information on the report. Reconcile report total to source data totals as applicable.
 </t>
    </r>
  </si>
  <si>
    <t>To summarize testing performed on IPE used in the Substantive Analytical Procedures testing within this working paper.</t>
  </si>
  <si>
    <t>Nonstatistical</t>
  </si>
  <si>
    <t>2B. SAP — Disaggregated Part 1</t>
  </si>
  <si>
    <t>2C. SAP — Disaggregated Part 2</t>
  </si>
  <si>
    <t>2D. SAP — Disaggregated Part 3</t>
  </si>
  <si>
    <t>Developing Inputs to Expectation</t>
  </si>
  <si>
    <t>[Examples of inputs below]</t>
  </si>
  <si>
    <t>Payroll expenses have not been properly classified in the financial statements.</t>
  </si>
  <si>
    <t>Increase (in %)  in salary per year (if applicable)</t>
  </si>
  <si>
    <t>PY Expense</t>
  </si>
  <si>
    <t>Payroll — Expense — Substantive Analytical Procedures Testing Template</t>
  </si>
  <si>
    <t>Control Reliance/No Control Reliance</t>
  </si>
  <si>
    <t>Test the occurrence, completeness, accuracy, cutoff, and classification of payroll expense.
When there is a plausible and predictable relationship between data, perform a nonstatistical substantive analytical procedure.
• Determine the suitability of particular substantive analytical procedures for given assertions, considering whether they appropriately address the RoMMs.
• Evaluate the reliability of data from which our expectation of recorded amounts is developed, taking account of source, comparability, and nature and relevance of information available, as well as controls over preparation.
• Disaggregate the population at the appropriate level(s) (e.g., segment/business unit/division).
• Develop an expectation of recorded amounts (e.g., predicting current-year payroll expense based on prior-year payroll expense, adjusted for changes in data such as changes in salary and headcount), and evaluate whether the expectation is sufficiently precise.
• Determine the appropriate threshold.
• Identify differences requiring further investigation, comparing the expectation with the recorded amount (e.g., fluctuation or relationship identified is inconsistent with other relevant expectations, difference exceeds threshold).
• Investigate differences and evaluate results (e.g., refine the expectation).</t>
  </si>
  <si>
    <t>Consider the following expectation summary table and consider the need for further documentation around specific items such as:  
Have all unexplained differences arising from the substantive analytical procedures requiring investigation been investigated? 
Have the substantive analytical procedures performed achieved our planned extent of testing? 
Have all factual and judgmental misstatements identified during these procedures been entered in the findings module/misstatement form?
Have all identified control deficiencies been recorded in the findings module/control deficiency form?</t>
  </si>
  <si>
    <r>
      <t>To perform calculations to generate inputs that will be built into the expectations</t>
    </r>
    <r>
      <rPr>
        <i/>
        <sz val="8"/>
        <rFont val="Verdana"/>
        <family val="2"/>
        <scheme val="major"/>
      </rPr>
      <t xml:space="preserve"> </t>
    </r>
    <r>
      <rPr>
        <sz val="8"/>
        <rFont val="Verdana"/>
        <family val="2"/>
        <scheme val="major"/>
      </rPr>
      <t>used within this working paper.</t>
    </r>
  </si>
  <si>
    <t>Reference to testing of adjustment factor</t>
  </si>
  <si>
    <t>Inflation/pay increase in which month? (prior year) 
(if applicable)</t>
  </si>
  <si>
    <t>Percentage inflation/pay increase (prior year)</t>
  </si>
  <si>
    <t>Inflation/pay increase in which month? (current year)</t>
  </si>
  <si>
    <t>Percentage inflation/pay increase (current year)</t>
  </si>
  <si>
    <t>Variable compensation (e.g., bonus and commission) (prior year)
(if applicable)</t>
  </si>
  <si>
    <t>Variable compensation (e.g., bonus and commission) (current year)
(if applicable)</t>
  </si>
  <si>
    <t>Headcount per Month</t>
  </si>
  <si>
    <t>Headcount Difference in %</t>
  </si>
  <si>
    <t>Disaggregated Part 1</t>
  </si>
  <si>
    <t>Disaggregated Part 2</t>
  </si>
  <si>
    <t>Disaggregated Part 3</t>
  </si>
  <si>
    <t>Insert TB link</t>
  </si>
  <si>
    <t>Amount General Ledger as per MM/DD/20X1</t>
  </si>
  <si>
    <t>Amount General Ledger as per MM/DD/20X0</t>
  </si>
  <si>
    <t>Disaggregated Part</t>
  </si>
  <si>
    <t>0. Summary Tab</t>
  </si>
  <si>
    <t>Percent of Annual Period Covered at Interim (%)</t>
  </si>
  <si>
    <t>To reconcile payroll expense account to allow for a sufficiently precise expectation to address the risks of material misstatement identified.</t>
  </si>
  <si>
    <r>
      <rPr>
        <i/>
        <sz val="8"/>
        <rFont val="Verdana"/>
        <family val="2"/>
      </rPr>
      <t>E.g.,</t>
    </r>
    <r>
      <rPr>
        <i/>
        <sz val="8"/>
        <rFont val="Verdana"/>
        <family val="2"/>
        <scheme val="major"/>
      </rPr>
      <t xml:space="preserve"> Headcount report, which includes a listing of all employees, and includes employment start and end dates, annual salaries, dates of salary increases, etc., which is obtained from Human Resources or an equivalent administrative department.</t>
    </r>
  </si>
  <si>
    <t>MM/DD/20X1</t>
  </si>
  <si>
    <t>MM/DD/20X0</t>
  </si>
  <si>
    <t>(4-21)</t>
  </si>
  <si>
    <t>Occurrence, Completeness, Accuracy, Cutoff, Classification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</si>
</sst>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 #,##0.00_ ;_ * \-#,##0.00_ ;_ * &quot;-&quot;??_ ;_ @_ "/>
    <numFmt numFmtId="165" formatCode="_-* #,##0.00_-;\-* #,##0.00_-;_-* &quot;-&quot;??_-;_-@_-"/>
    <numFmt numFmtId="166" formatCode="_(* #,##0_);_(* \(#,##0\);_(* &quot;-&quot;??_);_(@_)"/>
    <numFmt numFmtId="167" formatCode="0%_);\(0%\)"/>
    <numFmt numFmtId="168" formatCode="0.00%_);\(0.00%\)"/>
    <numFmt numFmtId="169" formatCode="0.0%"/>
    <numFmt numFmtId="170" formatCode="_(* #,##0.0_);_(* \(#,##0.0\);_(* &quot;-&quot;??_);_(@_)"/>
  </numFmts>
  <fonts count="61" x14ac:knownFonts="1">
    <font>
      <sz val="11"/>
      <color theme="1"/>
      <name val="Verdana"/>
      <family val="2"/>
      <scheme val="minor"/>
    </font>
    <font>
      <sz val="11"/>
      <color theme="1"/>
      <name val="Verdana"/>
      <family val="2"/>
      <scheme val="minor"/>
    </font>
    <font>
      <sz val="10"/>
      <name val="Arial"/>
      <family val="2"/>
    </font>
    <font>
      <sz val="10"/>
      <name val="Times New Roman"/>
      <family val="1"/>
    </font>
    <font>
      <b/>
      <sz val="10"/>
      <name val="Arial"/>
      <family val="2"/>
    </font>
    <font>
      <b/>
      <sz val="10"/>
      <color indexed="10"/>
      <name val="Arial"/>
      <family val="2"/>
    </font>
    <font>
      <sz val="8"/>
      <name val="Verdana"/>
      <family val="2"/>
      <scheme val="minor"/>
    </font>
    <font>
      <b/>
      <sz val="8"/>
      <name val="Verdana"/>
      <family val="2"/>
      <scheme val="minor"/>
    </font>
    <font>
      <i/>
      <sz val="8"/>
      <name val="Verdana"/>
      <family val="2"/>
      <scheme val="minor"/>
    </font>
    <font>
      <b/>
      <sz val="8"/>
      <name val="Verdana"/>
      <family val="2"/>
      <scheme val="major"/>
    </font>
    <font>
      <sz val="10"/>
      <color theme="1"/>
      <name val="Arial"/>
      <family val="2"/>
    </font>
    <font>
      <b/>
      <sz val="10"/>
      <color rgb="FFFA7D00"/>
      <name val="Verdana"/>
      <family val="2"/>
    </font>
    <font>
      <sz val="10"/>
      <color theme="1"/>
      <name val="Verdana"/>
      <family val="2"/>
    </font>
    <font>
      <u/>
      <sz val="11"/>
      <color theme="10"/>
      <name val="Verdana"/>
      <family val="2"/>
      <scheme val="minor"/>
    </font>
    <font>
      <b/>
      <sz val="8"/>
      <color theme="1"/>
      <name val="Verdana"/>
      <family val="2"/>
      <scheme val="minor"/>
    </font>
    <font>
      <sz val="8"/>
      <color theme="1"/>
      <name val="Verdana"/>
      <family val="2"/>
      <scheme val="minor"/>
    </font>
    <font>
      <i/>
      <sz val="8"/>
      <color rgb="FFFF0000"/>
      <name val="Verdana"/>
      <family val="2"/>
      <scheme val="minor"/>
    </font>
    <font>
      <sz val="8"/>
      <color theme="0"/>
      <name val="Verdana"/>
      <family val="2"/>
      <scheme val="minor"/>
    </font>
    <font>
      <b/>
      <sz val="8"/>
      <color theme="0"/>
      <name val="Verdana"/>
      <family val="2"/>
      <scheme val="minor"/>
    </font>
    <font>
      <b/>
      <sz val="8"/>
      <color rgb="FFFF0000"/>
      <name val="Verdana"/>
      <family val="2"/>
      <scheme val="minor"/>
    </font>
    <font>
      <b/>
      <i/>
      <sz val="8"/>
      <color rgb="FFFF0000"/>
      <name val="Verdana"/>
      <family val="2"/>
      <scheme val="minor"/>
    </font>
    <font>
      <u/>
      <sz val="8"/>
      <color theme="10"/>
      <name val="Verdana"/>
      <family val="2"/>
      <scheme val="minor"/>
    </font>
    <font>
      <b/>
      <sz val="8"/>
      <color theme="1"/>
      <name val="Verdana"/>
      <family val="2"/>
      <scheme val="major"/>
    </font>
    <font>
      <b/>
      <sz val="8"/>
      <name val="Verdana"/>
      <family val="2"/>
    </font>
    <font>
      <sz val="8"/>
      <name val="Verdana"/>
      <family val="2"/>
      <scheme val="major"/>
    </font>
    <font>
      <b/>
      <sz val="8"/>
      <color theme="1"/>
      <name val="Verdana"/>
      <family val="2"/>
    </font>
    <font>
      <i/>
      <sz val="8"/>
      <name val="Verdana"/>
      <family val="2"/>
    </font>
    <font>
      <sz val="9"/>
      <color indexed="81"/>
      <name val="Tahoma"/>
      <family val="2"/>
    </font>
    <font>
      <b/>
      <sz val="9"/>
      <color indexed="81"/>
      <name val="Tahoma"/>
      <family val="2"/>
    </font>
    <font>
      <sz val="8"/>
      <color theme="0"/>
      <name val="Verdana"/>
      <family val="2"/>
      <scheme val="major"/>
    </font>
    <font>
      <sz val="8"/>
      <color theme="1"/>
      <name val="Verdana"/>
      <family val="2"/>
      <scheme val="major"/>
    </font>
    <font>
      <b/>
      <u/>
      <sz val="8"/>
      <name val="Verdana"/>
      <family val="2"/>
      <scheme val="major"/>
    </font>
    <font>
      <b/>
      <sz val="8"/>
      <color rgb="FFFF0000"/>
      <name val="Verdana"/>
      <family val="2"/>
      <scheme val="major"/>
    </font>
    <font>
      <i/>
      <sz val="8"/>
      <color indexed="17"/>
      <name val="Verdana"/>
      <family val="2"/>
      <scheme val="major"/>
    </font>
    <font>
      <b/>
      <sz val="8"/>
      <color theme="0"/>
      <name val="Verdana"/>
      <family val="2"/>
      <scheme val="major"/>
    </font>
    <font>
      <sz val="8"/>
      <color theme="1"/>
      <name val="Verdana"/>
      <family val="2"/>
    </font>
    <font>
      <b/>
      <sz val="8"/>
      <color rgb="FFFF0000"/>
      <name val="Verdana"/>
      <family val="2"/>
    </font>
    <font>
      <sz val="8"/>
      <name val="Verdana"/>
      <family val="2"/>
    </font>
    <font>
      <i/>
      <sz val="8"/>
      <color rgb="FFFF0000"/>
      <name val="Verdana"/>
      <family val="2"/>
      <scheme val="major"/>
    </font>
    <font>
      <sz val="8"/>
      <color rgb="FFFF0000"/>
      <name val="Verdana"/>
      <family val="2"/>
      <scheme val="major"/>
    </font>
    <font>
      <i/>
      <sz val="8"/>
      <name val="Verdana"/>
      <family val="2"/>
      <scheme val="major"/>
    </font>
    <font>
      <b/>
      <sz val="8"/>
      <color theme="0"/>
      <name val="Verdana"/>
      <family val="2"/>
    </font>
    <font>
      <b/>
      <sz val="10"/>
      <color theme="1"/>
      <name val="Verdana"/>
      <family val="2"/>
    </font>
    <font>
      <sz val="8"/>
      <color rgb="FFFF0000"/>
      <name val="Verdana"/>
      <family val="2"/>
    </font>
    <font>
      <i/>
      <sz val="8"/>
      <color rgb="FFFF0000"/>
      <name val="Verdana"/>
      <family val="2"/>
    </font>
    <font>
      <sz val="10"/>
      <name val="Verdana"/>
      <family val="2"/>
    </font>
    <font>
      <b/>
      <i/>
      <sz val="8"/>
      <color theme="0"/>
      <name val="Verdana"/>
      <family val="2"/>
    </font>
    <font>
      <sz val="8"/>
      <color rgb="FF00A1DE"/>
      <name val="Verdana"/>
      <family val="2"/>
    </font>
    <font>
      <sz val="10"/>
      <color theme="1"/>
      <name val="Verdana"/>
      <family val="2"/>
      <scheme val="minor"/>
    </font>
    <font>
      <b/>
      <sz val="10"/>
      <color theme="1"/>
      <name val="Verdana"/>
      <family val="2"/>
      <scheme val="minor"/>
    </font>
    <font>
      <strike/>
      <sz val="8"/>
      <color rgb="FFFF0000"/>
      <name val="Verdana"/>
      <family val="2"/>
      <scheme val="major"/>
    </font>
    <font>
      <sz val="9"/>
      <color rgb="FF9C0006"/>
      <name val="Verdana"/>
      <family val="2"/>
    </font>
    <font>
      <sz val="8"/>
      <color theme="0"/>
      <name val="Verdana"/>
      <family val="2"/>
    </font>
    <font>
      <b/>
      <sz val="8"/>
      <color rgb="FF0000FF"/>
      <name val="Verdana"/>
      <family val="2"/>
      <scheme val="major"/>
    </font>
    <font>
      <b/>
      <i/>
      <sz val="8"/>
      <name val="Verdana"/>
      <family val="2"/>
    </font>
    <font>
      <i/>
      <sz val="8"/>
      <color theme="1"/>
      <name val="Verdana"/>
      <family val="2"/>
      <scheme val="major"/>
    </font>
    <font>
      <b/>
      <sz val="8"/>
      <color theme="3"/>
      <name val="Verdana"/>
      <family val="2"/>
      <scheme val="major"/>
    </font>
    <font>
      <sz val="8"/>
      <color theme="3"/>
      <name val="Verdana"/>
      <family val="2"/>
      <scheme val="major"/>
    </font>
    <font>
      <b/>
      <i/>
      <sz val="8"/>
      <name val="Verdana"/>
      <family val="2"/>
      <scheme val="major"/>
    </font>
    <font>
      <u/>
      <sz val="9"/>
      <color theme="10"/>
      <name val="Verdana"/>
      <family val="2"/>
      <scheme val="minor"/>
    </font>
    <font>
      <b/>
      <i/>
      <sz val="8"/>
      <color rgb="FFFF0000"/>
      <name val="Verdana"/>
      <family val="2"/>
      <scheme val="major"/>
    </font>
  </fonts>
  <fills count="18">
    <fill>
      <patternFill patternType="none"/>
    </fill>
    <fill>
      <patternFill patternType="gray125"/>
    </fill>
    <fill>
      <patternFill patternType="solid">
        <fgColor theme="0"/>
        <bgColor indexed="64"/>
      </patternFill>
    </fill>
    <fill>
      <patternFill patternType="solid">
        <fgColor indexed="27"/>
        <bgColor indexed="64"/>
      </patternFill>
    </fill>
    <fill>
      <patternFill patternType="solid">
        <fgColor theme="1"/>
        <bgColor indexed="64"/>
      </patternFill>
    </fill>
    <fill>
      <patternFill patternType="solid">
        <fgColor theme="0" tint="-0.14999847407452621"/>
        <bgColor indexed="64"/>
      </patternFill>
    </fill>
    <fill>
      <patternFill patternType="solid">
        <fgColor rgb="FF00CCFF"/>
        <bgColor indexed="64"/>
      </patternFill>
    </fill>
    <fill>
      <patternFill patternType="solid">
        <fgColor rgb="FFF2F2F2"/>
      </patternFill>
    </fill>
    <fill>
      <patternFill patternType="solid">
        <fgColor theme="0" tint="-0.249977111117893"/>
        <bgColor indexed="64"/>
      </patternFill>
    </fill>
    <fill>
      <patternFill patternType="solid">
        <fgColor rgb="FFD9D9D9"/>
        <bgColor indexed="64"/>
      </patternFill>
    </fill>
    <fill>
      <patternFill patternType="solid">
        <fgColor rgb="FF000000"/>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indexed="9"/>
        <bgColor indexed="64"/>
      </patternFill>
    </fill>
    <fill>
      <patternFill patternType="solid">
        <fgColor rgb="FFFFC7CE"/>
      </patternFill>
    </fill>
    <fill>
      <patternFill patternType="solid">
        <fgColor theme="9" tint="0.79998168889431442"/>
        <bgColor indexed="64"/>
      </patternFill>
    </fill>
    <fill>
      <patternFill patternType="solid">
        <fgColor theme="4"/>
        <bgColor indexed="64"/>
      </patternFill>
    </fill>
    <fill>
      <patternFill patternType="solid">
        <fgColor theme="1" tint="0.249977111117893"/>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right/>
      <top style="thin">
        <color indexed="64"/>
      </top>
      <bottom style="double">
        <color indexed="64"/>
      </bottom>
      <diagonal/>
    </border>
    <border>
      <left/>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theme="0"/>
      </top>
      <bottom/>
      <diagonal/>
    </border>
    <border>
      <left/>
      <right style="thin">
        <color indexed="64"/>
      </right>
      <top style="thin">
        <color indexed="64"/>
      </top>
      <bottom style="double">
        <color indexed="64"/>
      </bottom>
      <diagonal/>
    </border>
    <border>
      <left/>
      <right style="medium">
        <color indexed="64"/>
      </right>
      <top style="thin">
        <color indexed="64"/>
      </top>
      <bottom style="thin">
        <color indexed="64"/>
      </bottom>
      <diagonal/>
    </border>
  </borders>
  <cellStyleXfs count="52">
    <xf numFmtId="0" fontId="0" fillId="0" borderId="0"/>
    <xf numFmtId="0" fontId="2" fillId="0" borderId="0"/>
    <xf numFmtId="0" fontId="2" fillId="0" borderId="0"/>
    <xf numFmtId="0" fontId="2" fillId="0" borderId="0"/>
    <xf numFmtId="37" fontId="2" fillId="0" borderId="0"/>
    <xf numFmtId="37" fontId="2" fillId="0" borderId="0" applyFont="0" applyFill="0" applyBorder="0" applyAlignment="0" applyProtection="0"/>
    <xf numFmtId="0" fontId="2" fillId="0" borderId="0"/>
    <xf numFmtId="43" fontId="2" fillId="0" borderId="0" applyFont="0" applyFill="0" applyBorder="0" applyAlignment="0" applyProtection="0"/>
    <xf numFmtId="164" fontId="3"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2" fontId="2" fillId="0" borderId="0" applyFont="0" applyFill="0" applyBorder="0" applyAlignment="0" applyProtection="0"/>
    <xf numFmtId="14" fontId="4" fillId="3" borderId="14">
      <alignment horizontal="center" vertical="center" wrapText="1"/>
    </xf>
    <xf numFmtId="14" fontId="4" fillId="3" borderId="14">
      <alignment horizontal="center" vertical="center" wrapText="1"/>
    </xf>
    <xf numFmtId="14" fontId="4" fillId="3" borderId="14">
      <alignment horizontal="center" vertical="center" wrapText="1"/>
    </xf>
    <xf numFmtId="0" fontId="2" fillId="0" borderId="0"/>
    <xf numFmtId="37" fontId="2" fillId="0" borderId="0"/>
    <xf numFmtId="0" fontId="2" fillId="0" borderId="0"/>
    <xf numFmtId="37" fontId="2" fillId="0" borderId="0"/>
    <xf numFmtId="0" fontId="2" fillId="0" borderId="0"/>
    <xf numFmtId="167" fontId="2" fillId="0" borderId="0" applyFont="0" applyFill="0" applyBorder="0" applyAlignment="0" applyProtection="0"/>
    <xf numFmtId="9" fontId="2" fillId="0" borderId="0" applyFont="0" applyFill="0" applyBorder="0" applyAlignment="0" applyProtection="0"/>
    <xf numFmtId="168" fontId="2" fillId="0" borderId="0" applyFont="0" applyFill="0" applyBorder="0" applyAlignment="0" applyProtection="0"/>
    <xf numFmtId="0" fontId="5" fillId="0" borderId="0" applyFill="0" applyBorder="0" applyProtection="0">
      <alignment horizontal="left" vertical="top"/>
    </xf>
    <xf numFmtId="0" fontId="2" fillId="0" borderId="0"/>
    <xf numFmtId="0" fontId="2" fillId="0" borderId="0"/>
    <xf numFmtId="165" fontId="1" fillId="0" borderId="0" applyFont="0" applyFill="0" applyBorder="0" applyAlignment="0" applyProtection="0"/>
    <xf numFmtId="0" fontId="1" fillId="0" borderId="0"/>
    <xf numFmtId="0" fontId="10" fillId="0" borderId="0"/>
    <xf numFmtId="0" fontId="2" fillId="0" borderId="0"/>
    <xf numFmtId="0" fontId="11" fillId="7" borderId="17" applyNumberFormat="0" applyAlignment="0" applyProtection="0"/>
    <xf numFmtId="165" fontId="2" fillId="0" borderId="0" applyFont="0" applyFill="0" applyBorder="0" applyAlignment="0" applyProtection="0"/>
    <xf numFmtId="0" fontId="12" fillId="0" borderId="0"/>
    <xf numFmtId="0" fontId="13" fillId="0" borderId="0" applyNumberFormat="0" applyFill="0" applyBorder="0" applyAlignment="0" applyProtection="0"/>
    <xf numFmtId="43" fontId="1" fillId="0" borderId="0" applyFont="0" applyFill="0" applyBorder="0" applyAlignment="0" applyProtection="0"/>
    <xf numFmtId="0" fontId="2" fillId="0" borderId="0"/>
    <xf numFmtId="0" fontId="2" fillId="0" borderId="0"/>
    <xf numFmtId="0" fontId="2" fillId="0" borderId="0"/>
    <xf numFmtId="0" fontId="10" fillId="0" borderId="0"/>
    <xf numFmtId="0" fontId="3" fillId="0" borderId="0"/>
    <xf numFmtId="43" fontId="2" fillId="0" borderId="0" applyFont="0" applyFill="0" applyBorder="0" applyAlignment="0" applyProtection="0"/>
    <xf numFmtId="9" fontId="1" fillId="0" borderId="0" applyFont="0" applyFill="0" applyBorder="0" applyAlignment="0" applyProtection="0"/>
    <xf numFmtId="0" fontId="2" fillId="0" borderId="0"/>
    <xf numFmtId="0" fontId="2" fillId="0" borderId="0">
      <alignment horizontal="left" wrapText="1"/>
    </xf>
    <xf numFmtId="0" fontId="2" fillId="0" borderId="0"/>
    <xf numFmtId="0" fontId="1" fillId="0" borderId="0"/>
    <xf numFmtId="44" fontId="1" fillId="0" borderId="0" applyFont="0" applyFill="0" applyBorder="0" applyAlignment="0" applyProtection="0"/>
    <xf numFmtId="0" fontId="2" fillId="0" borderId="0"/>
    <xf numFmtId="44" fontId="1" fillId="0" borderId="0" applyFont="0" applyFill="0" applyBorder="0" applyAlignment="0" applyProtection="0"/>
    <xf numFmtId="9" fontId="1" fillId="0" borderId="0" applyFont="0" applyFill="0" applyBorder="0" applyAlignment="0" applyProtection="0"/>
    <xf numFmtId="0" fontId="51" fillId="14" borderId="0" applyNumberFormat="0" applyBorder="0" applyAlignment="0" applyProtection="0"/>
    <xf numFmtId="44" fontId="2" fillId="0" borderId="0" applyFont="0" applyFill="0" applyBorder="0" applyAlignment="0" applyProtection="0"/>
  </cellStyleXfs>
  <cellXfs count="434">
    <xf numFmtId="0" fontId="0" fillId="0" borderId="0" xfId="0"/>
    <xf numFmtId="0" fontId="2" fillId="0" borderId="0" xfId="25"/>
    <xf numFmtId="0" fontId="2" fillId="0" borderId="0" xfId="25" applyAlignment="1">
      <alignment horizontal="left"/>
    </xf>
    <xf numFmtId="0" fontId="14" fillId="0" borderId="0" xfId="0" applyFont="1" applyAlignment="1">
      <alignment vertical="top"/>
    </xf>
    <xf numFmtId="0" fontId="16" fillId="0" borderId="0" xfId="0" applyFont="1" applyAlignment="1">
      <alignment vertical="top"/>
    </xf>
    <xf numFmtId="0" fontId="15" fillId="5" borderId="0" xfId="0" applyFont="1" applyFill="1" applyAlignment="1">
      <alignment vertical="top"/>
    </xf>
    <xf numFmtId="14" fontId="14" fillId="0" borderId="0" xfId="0" applyNumberFormat="1" applyFont="1" applyAlignment="1">
      <alignment vertical="top"/>
    </xf>
    <xf numFmtId="0" fontId="17" fillId="4" borderId="16" xfId="0" applyFont="1" applyFill="1" applyBorder="1" applyAlignment="1">
      <alignment horizontal="center" vertical="center"/>
    </xf>
    <xf numFmtId="0" fontId="14" fillId="0" borderId="0" xfId="0" applyFont="1" applyAlignment="1">
      <alignment horizontal="left" vertical="top"/>
    </xf>
    <xf numFmtId="37" fontId="18" fillId="4" borderId="1" xfId="18" applyNumberFormat="1" applyFont="1" applyFill="1" applyBorder="1" applyAlignment="1">
      <alignment horizontal="right" vertical="center" wrapText="1"/>
    </xf>
    <xf numFmtId="0" fontId="15" fillId="2" borderId="0" xfId="0" applyFont="1" applyFill="1" applyAlignment="1">
      <alignment vertical="top"/>
    </xf>
    <xf numFmtId="0" fontId="14" fillId="2" borderId="0" xfId="0" applyFont="1" applyFill="1" applyAlignment="1">
      <alignment vertical="top"/>
    </xf>
    <xf numFmtId="0" fontId="15" fillId="0" borderId="0" xfId="0" applyFont="1" applyFill="1" applyAlignment="1">
      <alignment vertical="top"/>
    </xf>
    <xf numFmtId="0" fontId="6" fillId="2" borderId="0" xfId="0" applyFont="1" applyFill="1" applyAlignment="1">
      <alignment vertical="top"/>
    </xf>
    <xf numFmtId="0" fontId="17" fillId="4" borderId="1" xfId="0" applyFont="1" applyFill="1" applyBorder="1" applyAlignment="1">
      <alignment horizontal="center" vertical="top"/>
    </xf>
    <xf numFmtId="0" fontId="15" fillId="2" borderId="0" xfId="0" applyFont="1" applyFill="1"/>
    <xf numFmtId="43" fontId="6" fillId="6" borderId="1" xfId="34" applyFont="1" applyFill="1" applyBorder="1"/>
    <xf numFmtId="43" fontId="8" fillId="6" borderId="1" xfId="34" applyFont="1" applyFill="1" applyBorder="1"/>
    <xf numFmtId="0" fontId="19" fillId="2" borderId="1" xfId="15" applyFont="1" applyFill="1" applyBorder="1" applyAlignment="1">
      <alignment horizontal="center"/>
    </xf>
    <xf numFmtId="0" fontId="2" fillId="2" borderId="0" xfId="25" applyFill="1"/>
    <xf numFmtId="0" fontId="9" fillId="0" borderId="0" xfId="32" applyFont="1" applyAlignment="1">
      <alignment horizontal="centerContinuous" vertical="top"/>
    </xf>
    <xf numFmtId="0" fontId="6" fillId="0" borderId="0" xfId="32" applyFont="1" applyAlignment="1">
      <alignment horizontal="centerContinuous"/>
    </xf>
    <xf numFmtId="0" fontId="6" fillId="0" borderId="0" xfId="32" applyFont="1"/>
    <xf numFmtId="0" fontId="7" fillId="0" borderId="0" xfId="23" applyFont="1" applyAlignment="1">
      <alignment horizontal="center" vertical="top"/>
    </xf>
    <xf numFmtId="0" fontId="7" fillId="0" borderId="0" xfId="32" applyFont="1" applyAlignment="1">
      <alignment horizontal="center" vertical="top"/>
    </xf>
    <xf numFmtId="0" fontId="6" fillId="2" borderId="0" xfId="15" applyFont="1" applyFill="1" applyAlignment="1">
      <alignment vertical="top"/>
    </xf>
    <xf numFmtId="0" fontId="2" fillId="0" borderId="0" xfId="44" applyFill="1"/>
    <xf numFmtId="14" fontId="17" fillId="0" borderId="0" xfId="0" applyNumberFormat="1" applyFont="1" applyAlignment="1">
      <alignment vertical="top"/>
    </xf>
    <xf numFmtId="0" fontId="15" fillId="0" borderId="0" xfId="0" applyFont="1" applyAlignment="1">
      <alignment vertical="top"/>
    </xf>
    <xf numFmtId="0" fontId="24" fillId="2" borderId="0" xfId="25" applyFont="1" applyFill="1"/>
    <xf numFmtId="0" fontId="24" fillId="9" borderId="0" xfId="25" applyFont="1" applyFill="1"/>
    <xf numFmtId="0" fontId="22" fillId="0" borderId="0" xfId="0" applyFont="1" applyAlignment="1">
      <alignment vertical="top"/>
    </xf>
    <xf numFmtId="0" fontId="24" fillId="2" borderId="0" xfId="15" applyFont="1" applyFill="1"/>
    <xf numFmtId="0" fontId="24" fillId="5" borderId="0" xfId="15" applyFont="1" applyFill="1"/>
    <xf numFmtId="14" fontId="22" fillId="0" borderId="0" xfId="0" applyNumberFormat="1" applyFont="1" applyAlignment="1">
      <alignment vertical="top"/>
    </xf>
    <xf numFmtId="0" fontId="24" fillId="2" borderId="0" xfId="15" applyFont="1" applyFill="1" applyBorder="1"/>
    <xf numFmtId="43" fontId="9" fillId="2" borderId="0" xfId="34" applyFont="1" applyFill="1" applyBorder="1" applyAlignment="1">
      <alignment vertical="top"/>
    </xf>
    <xf numFmtId="0" fontId="32" fillId="2" borderId="0" xfId="0" applyFont="1" applyFill="1" applyBorder="1" applyAlignment="1">
      <alignment vertical="top"/>
    </xf>
    <xf numFmtId="0" fontId="33" fillId="2" borderId="0" xfId="0" applyFont="1" applyFill="1" applyBorder="1" applyAlignment="1">
      <alignment horizontal="left" vertical="top"/>
    </xf>
    <xf numFmtId="43" fontId="24" fillId="2" borderId="0" xfId="34" applyFont="1" applyFill="1" applyBorder="1"/>
    <xf numFmtId="0" fontId="31" fillId="2" borderId="0" xfId="15" applyFont="1" applyFill="1"/>
    <xf numFmtId="166" fontId="37" fillId="2" borderId="0" xfId="25" applyNumberFormat="1" applyFont="1" applyFill="1" applyBorder="1" applyAlignment="1">
      <alignment vertical="center"/>
    </xf>
    <xf numFmtId="0" fontId="25" fillId="2" borderId="0" xfId="0" applyFont="1" applyFill="1" applyBorder="1" applyAlignment="1">
      <alignment horizontal="right" vertical="center"/>
    </xf>
    <xf numFmtId="41" fontId="23" fillId="9" borderId="18" xfId="25" applyNumberFormat="1" applyFont="1" applyFill="1" applyBorder="1" applyAlignment="1">
      <alignment vertical="center"/>
    </xf>
    <xf numFmtId="0" fontId="35" fillId="2" borderId="8" xfId="0" applyFont="1" applyFill="1" applyBorder="1" applyAlignment="1">
      <alignment vertical="center"/>
    </xf>
    <xf numFmtId="166" fontId="37" fillId="2" borderId="9" xfId="25" applyNumberFormat="1" applyFont="1" applyFill="1" applyBorder="1" applyAlignment="1">
      <alignment vertical="center"/>
    </xf>
    <xf numFmtId="0" fontId="37" fillId="2" borderId="9" xfId="25" applyFont="1" applyFill="1" applyBorder="1" applyAlignment="1">
      <alignment vertical="center"/>
    </xf>
    <xf numFmtId="0" fontId="30" fillId="5" borderId="0" xfId="0" applyFont="1" applyFill="1" applyAlignment="1">
      <alignment vertical="top"/>
    </xf>
    <xf numFmtId="0" fontId="24" fillId="0" borderId="0" xfId="15" applyFont="1"/>
    <xf numFmtId="0" fontId="24" fillId="0" borderId="0" xfId="15" applyFont="1" applyFill="1"/>
    <xf numFmtId="0" fontId="24" fillId="0" borderId="0" xfId="15" applyFont="1" applyFill="1" applyBorder="1"/>
    <xf numFmtId="0" fontId="22" fillId="5" borderId="0" xfId="0" applyFont="1" applyFill="1" applyBorder="1" applyAlignment="1">
      <alignment vertical="top"/>
    </xf>
    <xf numFmtId="0" fontId="24" fillId="5" borderId="0" xfId="15" applyFont="1" applyFill="1" applyBorder="1"/>
    <xf numFmtId="0" fontId="9" fillId="0" borderId="0" xfId="15" applyFont="1"/>
    <xf numFmtId="0" fontId="24" fillId="9" borderId="0" xfId="15" applyFont="1" applyFill="1" applyBorder="1"/>
    <xf numFmtId="0" fontId="31" fillId="0" borderId="0" xfId="15" applyFont="1"/>
    <xf numFmtId="0" fontId="30" fillId="0" borderId="0" xfId="0" applyFont="1" applyBorder="1" applyAlignment="1">
      <alignment vertical="top"/>
    </xf>
    <xf numFmtId="0" fontId="29" fillId="5" borderId="0" xfId="0" applyFont="1" applyFill="1" applyBorder="1" applyAlignment="1">
      <alignment horizontal="right" vertical="top"/>
    </xf>
    <xf numFmtId="43" fontId="24" fillId="5" borderId="0" xfId="34" applyFont="1" applyFill="1" applyBorder="1" applyAlignment="1">
      <alignment horizontal="right"/>
    </xf>
    <xf numFmtId="0" fontId="32" fillId="5" borderId="0" xfId="0" applyFont="1" applyFill="1" applyBorder="1" applyAlignment="1">
      <alignment vertical="top"/>
    </xf>
    <xf numFmtId="0" fontId="33" fillId="5" borderId="0" xfId="0" applyFont="1" applyFill="1" applyBorder="1" applyAlignment="1">
      <alignment horizontal="left" vertical="top"/>
    </xf>
    <xf numFmtId="43" fontId="24" fillId="0" borderId="0" xfId="34" applyFont="1" applyBorder="1"/>
    <xf numFmtId="0" fontId="24" fillId="0" borderId="0" xfId="15" applyFont="1" applyBorder="1" applyAlignment="1">
      <alignment horizontal="center"/>
    </xf>
    <xf numFmtId="169" fontId="37" fillId="13" borderId="1" xfId="49" applyNumberFormat="1" applyFont="1" applyFill="1" applyBorder="1" applyAlignment="1">
      <alignment vertical="center"/>
    </xf>
    <xf numFmtId="169" fontId="37" fillId="0" borderId="1" xfId="49" applyNumberFormat="1" applyFont="1" applyFill="1" applyBorder="1" applyAlignment="1">
      <alignment vertical="center"/>
    </xf>
    <xf numFmtId="0" fontId="37" fillId="13" borderId="1" xfId="0" applyFont="1" applyFill="1" applyBorder="1" applyAlignment="1">
      <alignment vertical="center"/>
    </xf>
    <xf numFmtId="0" fontId="24" fillId="0" borderId="0" xfId="15" applyFont="1" applyFill="1" applyBorder="1" applyAlignment="1">
      <alignment horizontal="right"/>
    </xf>
    <xf numFmtId="0" fontId="35" fillId="0" borderId="0" xfId="0" applyFont="1" applyBorder="1" applyAlignment="1">
      <alignment vertical="center"/>
    </xf>
    <xf numFmtId="0" fontId="24" fillId="2" borderId="0" xfId="17" applyFont="1" applyFill="1" applyBorder="1" applyAlignment="1">
      <alignment horizontal="left" vertical="center"/>
    </xf>
    <xf numFmtId="0" fontId="30" fillId="9" borderId="0" xfId="0" applyFont="1" applyFill="1" applyAlignment="1">
      <alignment vertical="top"/>
    </xf>
    <xf numFmtId="0" fontId="29" fillId="0" borderId="0" xfId="0" applyFont="1" applyFill="1" applyBorder="1" applyAlignment="1">
      <alignment horizontal="center" vertical="center"/>
    </xf>
    <xf numFmtId="0" fontId="40" fillId="2" borderId="0" xfId="0" applyFont="1" applyFill="1" applyBorder="1" applyAlignment="1">
      <alignment vertical="top" wrapText="1"/>
    </xf>
    <xf numFmtId="0" fontId="34" fillId="10" borderId="19" xfId="15" applyFont="1" applyFill="1" applyBorder="1" applyAlignment="1">
      <alignment horizontal="center" vertical="center" wrapText="1"/>
    </xf>
    <xf numFmtId="0" fontId="34" fillId="10" borderId="25" xfId="15" applyFont="1" applyFill="1" applyBorder="1" applyAlignment="1">
      <alignment horizontal="center" vertical="center" wrapText="1"/>
    </xf>
    <xf numFmtId="0" fontId="44" fillId="13" borderId="1" xfId="0" applyFont="1" applyFill="1" applyBorder="1" applyAlignment="1">
      <alignment vertical="center" wrapText="1"/>
    </xf>
    <xf numFmtId="169" fontId="37" fillId="0" borderId="26" xfId="49" applyNumberFormat="1" applyFont="1" applyFill="1" applyBorder="1" applyAlignment="1">
      <alignment vertical="center"/>
    </xf>
    <xf numFmtId="0" fontId="45" fillId="13" borderId="1" xfId="0" applyFont="1" applyFill="1" applyBorder="1" applyAlignment="1">
      <alignment vertical="center" wrapText="1"/>
    </xf>
    <xf numFmtId="0" fontId="37" fillId="13" borderId="27" xfId="0" applyFont="1" applyFill="1" applyBorder="1" applyAlignment="1">
      <alignment vertical="center"/>
    </xf>
    <xf numFmtId="169" fontId="37" fillId="13" borderId="26" xfId="49" applyNumberFormat="1" applyFont="1" applyFill="1" applyBorder="1" applyAlignment="1">
      <alignment vertical="center"/>
    </xf>
    <xf numFmtId="0" fontId="37" fillId="13" borderId="26" xfId="0" applyFont="1" applyFill="1" applyBorder="1" applyAlignment="1">
      <alignment vertical="center"/>
    </xf>
    <xf numFmtId="0" fontId="44" fillId="13" borderId="28" xfId="0" applyFont="1" applyFill="1" applyBorder="1" applyAlignment="1">
      <alignment vertical="center" wrapText="1"/>
    </xf>
    <xf numFmtId="169" fontId="37" fillId="13" borderId="29" xfId="49" applyNumberFormat="1" applyFont="1" applyFill="1" applyBorder="1" applyAlignment="1">
      <alignment vertical="center"/>
    </xf>
    <xf numFmtId="0" fontId="24" fillId="13" borderId="31" xfId="0" applyFont="1" applyFill="1" applyBorder="1" applyAlignment="1">
      <alignment vertical="center" wrapText="1"/>
    </xf>
    <xf numFmtId="169" fontId="24" fillId="0" borderId="32" xfId="49" applyNumberFormat="1" applyFont="1" applyFill="1" applyBorder="1" applyAlignment="1">
      <alignment vertical="center"/>
    </xf>
    <xf numFmtId="0" fontId="24" fillId="13" borderId="1" xfId="0" applyFont="1" applyFill="1" applyBorder="1" applyAlignment="1">
      <alignment vertical="center"/>
    </xf>
    <xf numFmtId="0" fontId="38" fillId="13" borderId="1" xfId="0" applyFont="1" applyFill="1" applyBorder="1" applyAlignment="1">
      <alignment vertical="center" wrapText="1"/>
    </xf>
    <xf numFmtId="0" fontId="24" fillId="13" borderId="26" xfId="0" applyFont="1" applyFill="1" applyBorder="1" applyAlignment="1">
      <alignment vertical="center"/>
    </xf>
    <xf numFmtId="169" fontId="24" fillId="13" borderId="28" xfId="49" applyNumberFormat="1" applyFont="1" applyFill="1" applyBorder="1" applyAlignment="1">
      <alignment vertical="center"/>
    </xf>
    <xf numFmtId="0" fontId="38" fillId="13" borderId="28" xfId="0" applyFont="1" applyFill="1" applyBorder="1" applyAlignment="1">
      <alignment vertical="center" wrapText="1"/>
    </xf>
    <xf numFmtId="169" fontId="24" fillId="13" borderId="29" xfId="49" applyNumberFormat="1" applyFont="1" applyFill="1" applyBorder="1" applyAlignment="1">
      <alignment vertical="center"/>
    </xf>
    <xf numFmtId="14" fontId="41" fillId="4" borderId="1" xfId="1" applyNumberFormat="1" applyFont="1" applyFill="1" applyBorder="1" applyAlignment="1">
      <alignment horizontal="center" vertical="center" wrapText="1"/>
    </xf>
    <xf numFmtId="0" fontId="41" fillId="4" borderId="3" xfId="1" applyFont="1" applyFill="1" applyBorder="1" applyAlignment="1">
      <alignment horizontal="center" vertical="center" wrapText="1"/>
    </xf>
    <xf numFmtId="0" fontId="35" fillId="0" borderId="0" xfId="0" applyFont="1" applyAlignment="1">
      <alignment vertical="center"/>
    </xf>
    <xf numFmtId="0" fontId="46" fillId="4" borderId="3" xfId="1" applyFont="1" applyFill="1" applyBorder="1" applyAlignment="1">
      <alignment horizontal="center" vertical="center" wrapText="1"/>
    </xf>
    <xf numFmtId="14" fontId="46" fillId="4" borderId="1" xfId="1" applyNumberFormat="1" applyFont="1" applyFill="1" applyBorder="1" applyAlignment="1">
      <alignment horizontal="center" vertical="center" wrapText="1"/>
    </xf>
    <xf numFmtId="0" fontId="46" fillId="4" borderId="5" xfId="1" applyFont="1" applyFill="1" applyBorder="1" applyAlignment="1">
      <alignment horizontal="center" vertical="center" wrapText="1"/>
    </xf>
    <xf numFmtId="0" fontId="36" fillId="2" borderId="11" xfId="25" applyFont="1" applyFill="1" applyBorder="1" applyAlignment="1">
      <alignment vertical="center" wrapText="1"/>
    </xf>
    <xf numFmtId="0" fontId="43" fillId="2" borderId="12" xfId="25" applyFont="1" applyFill="1" applyBorder="1" applyAlignment="1">
      <alignment vertical="center" wrapText="1"/>
    </xf>
    <xf numFmtId="0" fontId="37" fillId="0" borderId="6" xfId="2" applyFont="1" applyFill="1" applyBorder="1" applyAlignment="1">
      <alignment horizontal="left" vertical="center"/>
    </xf>
    <xf numFmtId="166" fontId="37" fillId="0" borderId="0" xfId="34" applyNumberFormat="1" applyFont="1" applyFill="1" applyBorder="1" applyAlignment="1">
      <alignment vertical="center"/>
    </xf>
    <xf numFmtId="9" fontId="35" fillId="9" borderId="7" xfId="49" applyFont="1" applyFill="1" applyBorder="1" applyAlignment="1">
      <alignment horizontal="center" vertical="center"/>
    </xf>
    <xf numFmtId="166" fontId="35" fillId="9" borderId="6" xfId="0" applyNumberFormat="1" applyFont="1" applyFill="1" applyBorder="1" applyAlignment="1">
      <alignment horizontal="center" vertical="center"/>
    </xf>
    <xf numFmtId="0" fontId="35" fillId="9" borderId="7" xfId="0" applyNumberFormat="1" applyFont="1" applyFill="1" applyBorder="1" applyAlignment="1">
      <alignment vertical="center"/>
    </xf>
    <xf numFmtId="9" fontId="35" fillId="9" borderId="7" xfId="49" applyFont="1" applyFill="1" applyBorder="1" applyAlignment="1">
      <alignment vertical="center"/>
    </xf>
    <xf numFmtId="0" fontId="47" fillId="0" borderId="0" xfId="0" applyFont="1" applyAlignment="1">
      <alignment vertical="center"/>
    </xf>
    <xf numFmtId="0" fontId="37" fillId="0" borderId="8" xfId="2" applyFont="1" applyFill="1" applyBorder="1" applyAlignment="1">
      <alignment horizontal="left" vertical="center"/>
    </xf>
    <xf numFmtId="166" fontId="37" fillId="0" borderId="9" xfId="34" applyNumberFormat="1" applyFont="1" applyFill="1" applyBorder="1" applyAlignment="1">
      <alignment vertical="center"/>
    </xf>
    <xf numFmtId="9" fontId="35" fillId="9" borderId="10" xfId="49" applyFont="1" applyFill="1" applyBorder="1" applyAlignment="1">
      <alignment horizontal="center" vertical="center"/>
    </xf>
    <xf numFmtId="166" fontId="35" fillId="9" borderId="8" xfId="0" applyNumberFormat="1" applyFont="1" applyFill="1" applyBorder="1" applyAlignment="1">
      <alignment horizontal="center" vertical="center"/>
    </xf>
    <xf numFmtId="0" fontId="35" fillId="9" borderId="10" xfId="0" applyNumberFormat="1" applyFont="1" applyFill="1" applyBorder="1" applyAlignment="1">
      <alignment vertical="center"/>
    </xf>
    <xf numFmtId="9" fontId="35" fillId="9" borderId="10" xfId="49" applyFont="1" applyFill="1" applyBorder="1" applyAlignment="1">
      <alignment vertical="center"/>
    </xf>
    <xf numFmtId="0" fontId="23" fillId="11" borderId="3" xfId="2" applyFont="1" applyFill="1" applyBorder="1" applyAlignment="1">
      <alignment vertical="center"/>
    </xf>
    <xf numFmtId="170" fontId="37" fillId="11" borderId="4" xfId="34" applyNumberFormat="1" applyFont="1" applyFill="1" applyBorder="1" applyAlignment="1">
      <alignment vertical="center"/>
    </xf>
    <xf numFmtId="0" fontId="30" fillId="0" borderId="0" xfId="0" applyFont="1" applyFill="1" applyBorder="1" applyAlignment="1">
      <alignment horizontal="center" vertical="center" wrapText="1"/>
    </xf>
    <xf numFmtId="0" fontId="30" fillId="0" borderId="0" xfId="28" applyFont="1" applyFill="1" applyBorder="1" applyAlignment="1">
      <alignment horizontal="left" wrapText="1"/>
    </xf>
    <xf numFmtId="0" fontId="2" fillId="0" borderId="0" xfId="25" applyFill="1"/>
    <xf numFmtId="0" fontId="2" fillId="2" borderId="0" xfId="25" applyFill="1" applyAlignment="1">
      <alignment horizontal="left"/>
    </xf>
    <xf numFmtId="166" fontId="35" fillId="2" borderId="0" xfId="8" applyNumberFormat="1" applyFont="1" applyFill="1" applyBorder="1" applyAlignment="1">
      <alignment vertical="center"/>
    </xf>
    <xf numFmtId="41" fontId="35" fillId="2" borderId="0" xfId="8" applyNumberFormat="1" applyFont="1" applyFill="1" applyBorder="1" applyAlignment="1">
      <alignment vertical="center"/>
    </xf>
    <xf numFmtId="0" fontId="29" fillId="2" borderId="0" xfId="0" applyFont="1" applyFill="1" applyBorder="1" applyAlignment="1">
      <alignment horizontal="right" vertical="top"/>
    </xf>
    <xf numFmtId="43" fontId="24" fillId="2" borderId="0" xfId="34" applyFont="1" applyFill="1" applyBorder="1" applyAlignment="1">
      <alignment horizontal="right"/>
    </xf>
    <xf numFmtId="166" fontId="37" fillId="11" borderId="4" xfId="34" applyNumberFormat="1" applyFont="1" applyFill="1" applyBorder="1" applyAlignment="1">
      <alignment horizontal="center" vertical="center"/>
    </xf>
    <xf numFmtId="9" fontId="37" fillId="11" borderId="5" xfId="49" applyFont="1" applyFill="1" applyBorder="1" applyAlignment="1">
      <alignment horizontal="center" vertical="center"/>
    </xf>
    <xf numFmtId="9" fontId="37" fillId="11" borderId="5" xfId="49" applyNumberFormat="1" applyFont="1" applyFill="1" applyBorder="1" applyAlignment="1">
      <alignment vertical="center"/>
    </xf>
    <xf numFmtId="49" fontId="6" fillId="0" borderId="1" xfId="0" applyNumberFormat="1" applyFont="1" applyFill="1" applyBorder="1" applyAlignment="1">
      <alignment horizontal="right" vertical="top"/>
    </xf>
    <xf numFmtId="0" fontId="48" fillId="5" borderId="0" xfId="0" applyFont="1" applyFill="1" applyAlignment="1">
      <alignment vertical="top"/>
    </xf>
    <xf numFmtId="0" fontId="49" fillId="5" borderId="0" xfId="0" applyFont="1" applyFill="1" applyAlignment="1">
      <alignment vertical="top"/>
    </xf>
    <xf numFmtId="0" fontId="49" fillId="5" borderId="0" xfId="0" applyFont="1" applyFill="1" applyAlignment="1">
      <alignment horizontal="right" vertical="top"/>
    </xf>
    <xf numFmtId="43" fontId="24" fillId="2" borderId="0" xfId="48" applyNumberFormat="1" applyFont="1" applyFill="1" applyBorder="1" applyAlignment="1">
      <alignment horizontal="left" vertical="top"/>
    </xf>
    <xf numFmtId="43" fontId="24" fillId="0" borderId="0" xfId="48" applyNumberFormat="1" applyFont="1" applyFill="1" applyBorder="1" applyAlignment="1">
      <alignment horizontal="left" vertical="top"/>
    </xf>
    <xf numFmtId="43" fontId="24" fillId="5" borderId="0" xfId="48" applyNumberFormat="1" applyFont="1" applyFill="1" applyBorder="1" applyAlignment="1">
      <alignment horizontal="left" vertical="top"/>
    </xf>
    <xf numFmtId="43" fontId="24" fillId="0" borderId="0" xfId="15" applyNumberFormat="1" applyFont="1" applyFill="1" applyBorder="1"/>
    <xf numFmtId="0" fontId="14" fillId="5" borderId="0" xfId="0" applyFont="1" applyFill="1" applyAlignment="1">
      <alignment vertical="top"/>
    </xf>
    <xf numFmtId="0" fontId="44" fillId="0" borderId="13" xfId="25" applyFont="1" applyBorder="1" applyAlignment="1">
      <alignment horizontal="center" vertical="center" wrapText="1"/>
    </xf>
    <xf numFmtId="0" fontId="44" fillId="2" borderId="0" xfId="25" applyFont="1" applyFill="1" applyBorder="1" applyAlignment="1">
      <alignment horizontal="center" vertical="center" wrapText="1"/>
    </xf>
    <xf numFmtId="0" fontId="19" fillId="0" borderId="1" xfId="15" applyFont="1" applyFill="1" applyBorder="1" applyAlignment="1">
      <alignment horizontal="center"/>
    </xf>
    <xf numFmtId="0" fontId="41" fillId="4" borderId="5" xfId="1" applyFont="1" applyFill="1" applyBorder="1" applyAlignment="1">
      <alignment horizontal="left" vertical="center" wrapText="1"/>
    </xf>
    <xf numFmtId="0" fontId="41" fillId="4" borderId="22" xfId="1" applyFont="1" applyFill="1" applyBorder="1" applyAlignment="1">
      <alignment horizontal="left" vertical="center" wrapText="1"/>
    </xf>
    <xf numFmtId="0" fontId="50" fillId="0" borderId="6" xfId="25" applyFont="1" applyFill="1" applyBorder="1"/>
    <xf numFmtId="0" fontId="35" fillId="2" borderId="0" xfId="0" applyFont="1" applyFill="1" applyBorder="1" applyAlignment="1">
      <alignment horizontal="left" vertical="center"/>
    </xf>
    <xf numFmtId="0" fontId="21" fillId="2" borderId="33" xfId="33" applyFont="1" applyFill="1" applyBorder="1" applyAlignment="1">
      <alignment vertical="top"/>
    </xf>
    <xf numFmtId="49" fontId="35" fillId="0" borderId="1" xfId="0" applyNumberFormat="1" applyFont="1" applyBorder="1" applyAlignment="1">
      <alignment horizontal="right" vertical="top"/>
    </xf>
    <xf numFmtId="166" fontId="35" fillId="5" borderId="1" xfId="0" applyNumberFormat="1" applyFont="1" applyFill="1" applyBorder="1"/>
    <xf numFmtId="0" fontId="29" fillId="4" borderId="1" xfId="0" applyFont="1" applyFill="1" applyBorder="1"/>
    <xf numFmtId="0" fontId="24" fillId="0" borderId="1" xfId="0" applyFont="1" applyFill="1" applyBorder="1" applyAlignment="1" applyProtection="1">
      <alignment horizontal="center" vertical="center"/>
      <protection locked="0"/>
    </xf>
    <xf numFmtId="0" fontId="29" fillId="4" borderId="3" xfId="0" applyFont="1" applyFill="1" applyBorder="1" applyAlignment="1">
      <alignment horizontal="center"/>
    </xf>
    <xf numFmtId="0" fontId="29" fillId="4" borderId="1" xfId="0" applyFont="1" applyFill="1" applyBorder="1" applyAlignment="1">
      <alignment horizontal="center"/>
    </xf>
    <xf numFmtId="14" fontId="22" fillId="0" borderId="0" xfId="0" applyNumberFormat="1" applyFont="1" applyFill="1" applyAlignment="1">
      <alignment vertical="top"/>
    </xf>
    <xf numFmtId="14" fontId="24" fillId="0" borderId="0" xfId="15" applyNumberFormat="1" applyFont="1" applyFill="1" applyBorder="1" applyAlignment="1">
      <alignment horizontal="right"/>
    </xf>
    <xf numFmtId="0" fontId="22" fillId="0" borderId="0" xfId="0" applyFont="1" applyFill="1" applyBorder="1" applyAlignment="1">
      <alignment vertical="top"/>
    </xf>
    <xf numFmtId="43" fontId="24" fillId="0" borderId="0" xfId="48" applyNumberFormat="1" applyFont="1" applyFill="1" applyBorder="1" applyAlignment="1">
      <alignment vertical="top"/>
    </xf>
    <xf numFmtId="0" fontId="32" fillId="0" borderId="0" xfId="0" applyFont="1" applyFill="1" applyBorder="1" applyAlignment="1">
      <alignment vertical="top"/>
    </xf>
    <xf numFmtId="0" fontId="33" fillId="0" borderId="0" xfId="0" applyFont="1" applyFill="1" applyBorder="1" applyAlignment="1">
      <alignment vertical="top"/>
    </xf>
    <xf numFmtId="0" fontId="24" fillId="0" borderId="0" xfId="15" applyFont="1" applyFill="1" applyBorder="1" applyAlignment="1"/>
    <xf numFmtId="0" fontId="30" fillId="0" borderId="0" xfId="0" applyFont="1" applyFill="1" applyProtection="1">
      <protection hidden="1"/>
    </xf>
    <xf numFmtId="166" fontId="30" fillId="0" borderId="0" xfId="0" applyNumberFormat="1" applyFont="1" applyFill="1" applyProtection="1">
      <protection hidden="1"/>
    </xf>
    <xf numFmtId="166" fontId="34" fillId="17" borderId="1" xfId="0" applyNumberFormat="1" applyFont="1" applyFill="1" applyBorder="1" applyAlignment="1" applyProtection="1">
      <alignment horizontal="center" vertical="center" wrapText="1"/>
      <protection hidden="1"/>
    </xf>
    <xf numFmtId="0" fontId="34" fillId="17" borderId="1" xfId="0" applyFont="1" applyFill="1" applyBorder="1" applyAlignment="1" applyProtection="1">
      <alignment horizontal="center" vertical="center" wrapText="1"/>
      <protection hidden="1"/>
    </xf>
    <xf numFmtId="0" fontId="30" fillId="0" borderId="0" xfId="0" applyFont="1" applyFill="1" applyAlignment="1" applyProtection="1">
      <alignment vertical="center"/>
      <protection hidden="1"/>
    </xf>
    <xf numFmtId="0" fontId="40" fillId="0" borderId="1" xfId="0" applyFont="1" applyFill="1" applyBorder="1" applyAlignment="1" applyProtection="1">
      <alignment horizontal="center" vertical="center" wrapText="1"/>
      <protection locked="0"/>
    </xf>
    <xf numFmtId="3" fontId="24" fillId="0" borderId="1" xfId="0" applyNumberFormat="1" applyFont="1" applyFill="1" applyBorder="1" applyAlignment="1" applyProtection="1">
      <alignment horizontal="center" vertical="center" wrapText="1"/>
      <protection locked="0"/>
    </xf>
    <xf numFmtId="43" fontId="24" fillId="0" borderId="1" xfId="34" applyFont="1" applyFill="1" applyBorder="1" applyAlignment="1" applyProtection="1">
      <alignment horizontal="center" vertical="center" wrapText="1"/>
      <protection locked="0"/>
    </xf>
    <xf numFmtId="43" fontId="24" fillId="0" borderId="1" xfId="34" applyFont="1" applyFill="1" applyBorder="1" applyAlignment="1" applyProtection="1">
      <alignment horizontal="center" vertical="center" wrapText="1"/>
      <protection hidden="1"/>
    </xf>
    <xf numFmtId="0" fontId="24" fillId="0" borderId="1" xfId="0" applyFont="1" applyFill="1" applyBorder="1" applyAlignment="1" applyProtection="1">
      <alignment horizontal="center" vertical="center" wrapText="1"/>
      <protection hidden="1"/>
    </xf>
    <xf numFmtId="3" fontId="24" fillId="0" borderId="1" xfId="0" applyNumberFormat="1" applyFont="1" applyFill="1" applyBorder="1" applyAlignment="1" applyProtection="1">
      <alignment horizontal="center" vertical="center" wrapText="1"/>
      <protection hidden="1"/>
    </xf>
    <xf numFmtId="0" fontId="24" fillId="0" borderId="0" xfId="15" applyFont="1" applyFill="1" applyAlignment="1">
      <alignment vertical="center"/>
    </xf>
    <xf numFmtId="0" fontId="24" fillId="5" borderId="0" xfId="15" applyFont="1" applyFill="1" applyAlignment="1">
      <alignment vertical="center"/>
    </xf>
    <xf numFmtId="0" fontId="9" fillId="0" borderId="0" xfId="15" applyFont="1" applyFill="1" applyAlignment="1">
      <alignment horizontal="right"/>
    </xf>
    <xf numFmtId="43" fontId="30" fillId="15" borderId="0" xfId="34" applyFont="1" applyFill="1" applyBorder="1"/>
    <xf numFmtId="166" fontId="24" fillId="0" borderId="9" xfId="34" applyNumberFormat="1" applyFont="1" applyFill="1" applyBorder="1"/>
    <xf numFmtId="0" fontId="32" fillId="0" borderId="0" xfId="15" applyFont="1" applyFill="1" applyAlignment="1">
      <alignment horizontal="left"/>
    </xf>
    <xf numFmtId="0" fontId="39" fillId="0" borderId="0" xfId="15" applyFont="1" applyFill="1"/>
    <xf numFmtId="43" fontId="24" fillId="0" borderId="0" xfId="15" applyNumberFormat="1" applyFont="1" applyFill="1" applyBorder="1" applyAlignment="1">
      <alignment horizontal="right"/>
    </xf>
    <xf numFmtId="0" fontId="33" fillId="0" borderId="0" xfId="0" applyFont="1" applyFill="1" applyBorder="1" applyAlignment="1">
      <alignment horizontal="left" vertical="top"/>
    </xf>
    <xf numFmtId="0" fontId="29" fillId="4" borderId="3" xfId="0" applyFont="1" applyFill="1" applyBorder="1" applyAlignment="1">
      <alignment horizontal="center" vertical="center"/>
    </xf>
    <xf numFmtId="0" fontId="34" fillId="17" borderId="1" xfId="1" applyFont="1" applyFill="1" applyBorder="1" applyAlignment="1">
      <alignment horizontal="center" vertical="center" wrapText="1"/>
    </xf>
    <xf numFmtId="0" fontId="24" fillId="0" borderId="0" xfId="1" applyFont="1" applyFill="1"/>
    <xf numFmtId="166" fontId="24" fillId="8" borderId="1" xfId="7" applyNumberFormat="1" applyFont="1" applyFill="1" applyBorder="1" applyAlignment="1">
      <alignment vertical="center"/>
    </xf>
    <xf numFmtId="0" fontId="56" fillId="0" borderId="0" xfId="1" applyFont="1" applyFill="1" applyAlignment="1">
      <alignment vertical="center"/>
    </xf>
    <xf numFmtId="0" fontId="22" fillId="16" borderId="3" xfId="1" applyFont="1" applyFill="1" applyBorder="1" applyAlignment="1">
      <alignment vertical="center"/>
    </xf>
    <xf numFmtId="0" fontId="34" fillId="17" borderId="1" xfId="1" applyFont="1" applyFill="1" applyBorder="1" applyAlignment="1">
      <alignment horizontal="center" vertical="center"/>
    </xf>
    <xf numFmtId="166" fontId="24" fillId="0" borderId="15" xfId="7" applyNumberFormat="1" applyFont="1" applyFill="1" applyBorder="1" applyAlignment="1">
      <alignment vertical="top"/>
    </xf>
    <xf numFmtId="0" fontId="24" fillId="0" borderId="1" xfId="1" applyFont="1" applyFill="1" applyBorder="1" applyAlignment="1">
      <alignment horizontal="left" vertical="top" wrapText="1"/>
    </xf>
    <xf numFmtId="166" fontId="24" fillId="0" borderId="1" xfId="7" applyNumberFormat="1" applyFont="1" applyFill="1" applyBorder="1" applyAlignment="1">
      <alignment vertical="top"/>
    </xf>
    <xf numFmtId="0" fontId="24" fillId="0" borderId="3" xfId="1" applyFont="1" applyFill="1" applyBorder="1" applyAlignment="1">
      <alignment horizontal="center" vertical="top" wrapText="1"/>
    </xf>
    <xf numFmtId="0" fontId="24" fillId="0" borderId="5" xfId="1" applyFont="1" applyFill="1" applyBorder="1" applyAlignment="1">
      <alignment horizontal="center" vertical="top" wrapText="1"/>
    </xf>
    <xf numFmtId="166" fontId="9" fillId="5" borderId="28" xfId="7" applyNumberFormat="1" applyFont="1" applyFill="1" applyBorder="1"/>
    <xf numFmtId="0" fontId="22" fillId="0" borderId="0" xfId="1" applyFont="1" applyFill="1" applyBorder="1" applyAlignment="1">
      <alignment vertical="center"/>
    </xf>
    <xf numFmtId="0" fontId="9" fillId="0" borderId="0" xfId="1" applyFont="1" applyFill="1" applyBorder="1" applyAlignment="1">
      <alignment horizontal="left" vertical="center" indent="1"/>
    </xf>
    <xf numFmtId="0" fontId="9" fillId="0" borderId="12" xfId="1" applyFont="1" applyFill="1" applyBorder="1" applyAlignment="1">
      <alignment horizontal="left" vertical="center" indent="1"/>
    </xf>
    <xf numFmtId="22" fontId="24" fillId="0" borderId="11" xfId="0" applyNumberFormat="1" applyFont="1" applyFill="1" applyBorder="1" applyAlignment="1">
      <alignment horizontal="left"/>
    </xf>
    <xf numFmtId="22" fontId="24" fillId="0" borderId="12" xfId="0" applyNumberFormat="1" applyFont="1" applyFill="1" applyBorder="1" applyAlignment="1">
      <alignment horizontal="left"/>
    </xf>
    <xf numFmtId="0" fontId="24" fillId="0" borderId="6" xfId="15" applyFont="1" applyFill="1" applyBorder="1" applyAlignment="1"/>
    <xf numFmtId="0" fontId="24" fillId="0" borderId="8" xfId="15" applyFont="1" applyFill="1" applyBorder="1" applyAlignment="1"/>
    <xf numFmtId="0" fontId="24" fillId="0" borderId="9" xfId="15" applyFont="1" applyFill="1" applyBorder="1" applyAlignment="1"/>
    <xf numFmtId="43" fontId="53" fillId="0" borderId="0" xfId="10" applyNumberFormat="1" applyFont="1" applyFill="1" applyBorder="1" applyAlignment="1">
      <alignment horizontal="center" vertical="center"/>
    </xf>
    <xf numFmtId="166" fontId="9" fillId="0" borderId="1" xfId="31" applyNumberFormat="1" applyFont="1" applyFill="1" applyBorder="1" applyAlignment="1">
      <alignment vertical="center"/>
    </xf>
    <xf numFmtId="166" fontId="24" fillId="0" borderId="1" xfId="31" applyNumberFormat="1" applyFont="1" applyFill="1" applyBorder="1" applyAlignment="1">
      <alignment vertical="center"/>
    </xf>
    <xf numFmtId="166" fontId="9" fillId="5" borderId="1" xfId="31" applyNumberFormat="1" applyFont="1" applyFill="1" applyBorder="1" applyAlignment="1">
      <alignment vertical="center"/>
    </xf>
    <xf numFmtId="0" fontId="34" fillId="17" borderId="1" xfId="28" applyFont="1" applyFill="1" applyBorder="1" applyAlignment="1">
      <alignment horizontal="center" vertical="center"/>
    </xf>
    <xf numFmtId="166" fontId="30" fillId="5" borderId="1" xfId="7" applyNumberFormat="1" applyFont="1" applyFill="1" applyBorder="1" applyAlignment="1">
      <alignment horizontal="center" vertical="center"/>
    </xf>
    <xf numFmtId="0" fontId="56" fillId="0" borderId="0" xfId="1" quotePrefix="1" applyFont="1" applyFill="1" applyAlignment="1">
      <alignment vertical="center"/>
    </xf>
    <xf numFmtId="166" fontId="30" fillId="5" borderId="1" xfId="7" applyNumberFormat="1" applyFont="1" applyFill="1" applyBorder="1" applyAlignment="1">
      <alignment vertical="center"/>
    </xf>
    <xf numFmtId="0" fontId="22" fillId="5" borderId="1" xfId="28" applyFont="1" applyFill="1" applyBorder="1" applyAlignment="1">
      <alignment horizontal="center" vertical="center"/>
    </xf>
    <xf numFmtId="0" fontId="22" fillId="12" borderId="3" xfId="1" applyFont="1" applyFill="1" applyBorder="1" applyAlignment="1">
      <alignment horizontal="left" vertical="center" indent="1"/>
    </xf>
    <xf numFmtId="0" fontId="22" fillId="12" borderId="4" xfId="1" applyFont="1" applyFill="1" applyBorder="1" applyAlignment="1">
      <alignment horizontal="left" vertical="center" indent="1"/>
    </xf>
    <xf numFmtId="0" fontId="22" fillId="12" borderId="5" xfId="1" applyFont="1" applyFill="1" applyBorder="1" applyAlignment="1">
      <alignment horizontal="left" vertical="center" indent="1"/>
    </xf>
    <xf numFmtId="0" fontId="34" fillId="17" borderId="0" xfId="1" applyFont="1" applyFill="1" applyAlignment="1">
      <alignment horizontal="center" vertical="center"/>
    </xf>
    <xf numFmtId="166" fontId="24" fillId="0" borderId="1" xfId="7" applyNumberFormat="1" applyFont="1" applyFill="1" applyBorder="1"/>
    <xf numFmtId="0" fontId="24" fillId="0" borderId="1" xfId="1" applyFont="1" applyFill="1" applyBorder="1" applyAlignment="1">
      <alignment wrapText="1"/>
    </xf>
    <xf numFmtId="0" fontId="24" fillId="0" borderId="1" xfId="1" applyFont="1" applyFill="1" applyBorder="1"/>
    <xf numFmtId="166" fontId="24" fillId="5" borderId="1" xfId="7" applyNumberFormat="1" applyFont="1" applyFill="1" applyBorder="1" applyAlignment="1">
      <alignment vertical="center"/>
    </xf>
    <xf numFmtId="166" fontId="24" fillId="5" borderId="1" xfId="1" applyNumberFormat="1" applyFont="1" applyFill="1" applyBorder="1" applyAlignment="1">
      <alignment vertical="center"/>
    </xf>
    <xf numFmtId="0" fontId="32" fillId="0" borderId="0" xfId="1" applyFont="1" applyFill="1" applyAlignment="1">
      <alignment horizontal="left"/>
    </xf>
    <xf numFmtId="0" fontId="34" fillId="17" borderId="11" xfId="28" applyFont="1" applyFill="1" applyBorder="1" applyAlignment="1">
      <alignment horizontal="center" vertical="center"/>
    </xf>
    <xf numFmtId="166" fontId="30" fillId="5" borderId="1" xfId="7" applyNumberFormat="1" applyFont="1" applyFill="1" applyBorder="1" applyAlignment="1">
      <alignment horizontal="center"/>
    </xf>
    <xf numFmtId="0" fontId="56" fillId="8" borderId="1" xfId="1" quotePrefix="1" applyFont="1" applyFill="1" applyBorder="1" applyAlignment="1">
      <alignment vertical="center"/>
    </xf>
    <xf numFmtId="166" fontId="30" fillId="8" borderId="1" xfId="7" applyNumberFormat="1" applyFont="1" applyFill="1" applyBorder="1" applyAlignment="1">
      <alignment horizontal="center"/>
    </xf>
    <xf numFmtId="0" fontId="30" fillId="0" borderId="3" xfId="28" applyFont="1" applyFill="1" applyBorder="1" applyAlignment="1">
      <alignment horizontal="left" vertical="top" wrapText="1"/>
    </xf>
    <xf numFmtId="0" fontId="30" fillId="0" borderId="5" xfId="28" applyFont="1" applyFill="1" applyBorder="1" applyAlignment="1">
      <alignment horizontal="left" vertical="top" wrapText="1"/>
    </xf>
    <xf numFmtId="166" fontId="30" fillId="0" borderId="1" xfId="7" applyNumberFormat="1" applyFont="1" applyFill="1" applyBorder="1" applyAlignment="1">
      <alignment horizontal="center" vertical="top"/>
    </xf>
    <xf numFmtId="0" fontId="57" fillId="0" borderId="1" xfId="1" quotePrefix="1" applyFont="1" applyFill="1" applyBorder="1" applyAlignment="1">
      <alignment horizontal="left" vertical="top" wrapText="1"/>
    </xf>
    <xf numFmtId="0" fontId="32" fillId="0" borderId="0" xfId="1" applyFont="1" applyFill="1"/>
    <xf numFmtId="0" fontId="24" fillId="0" borderId="1" xfId="1" applyFont="1" applyFill="1" applyBorder="1" applyAlignment="1">
      <alignment vertical="top"/>
    </xf>
    <xf numFmtId="0" fontId="24" fillId="0" borderId="0" xfId="1" applyFont="1" applyFill="1" applyBorder="1" applyAlignment="1">
      <alignment vertical="center"/>
    </xf>
    <xf numFmtId="0" fontId="9" fillId="0" borderId="4" xfId="1" applyFont="1" applyFill="1" applyBorder="1" applyAlignment="1">
      <alignment horizontal="left" vertical="center" indent="1"/>
    </xf>
    <xf numFmtId="0" fontId="24" fillId="0" borderId="0" xfId="15" applyFont="1" applyFill="1" applyAlignment="1">
      <alignment horizontal="left"/>
    </xf>
    <xf numFmtId="0" fontId="53" fillId="0" borderId="0" xfId="1" applyFont="1" applyFill="1" applyBorder="1" applyAlignment="1">
      <alignment horizontal="left" vertical="center" wrapText="1"/>
    </xf>
    <xf numFmtId="0" fontId="24" fillId="0" borderId="0" xfId="1" applyFont="1" applyFill="1" applyAlignment="1">
      <alignment vertical="center"/>
    </xf>
    <xf numFmtId="166" fontId="24" fillId="0" borderId="1" xfId="7" applyNumberFormat="1" applyFont="1" applyFill="1" applyBorder="1" applyAlignment="1">
      <alignment horizontal="center"/>
    </xf>
    <xf numFmtId="0" fontId="24" fillId="0" borderId="0" xfId="1" applyFont="1" applyFill="1" applyAlignment="1">
      <alignment horizontal="left"/>
    </xf>
    <xf numFmtId="0" fontId="24" fillId="0" borderId="1" xfId="1" applyFont="1" applyFill="1" applyBorder="1" applyAlignment="1">
      <alignment horizontal="center" wrapText="1"/>
    </xf>
    <xf numFmtId="0" fontId="24" fillId="0" borderId="1" xfId="1" applyFont="1" applyFill="1" applyBorder="1" applyAlignment="1">
      <alignment horizontal="center"/>
    </xf>
    <xf numFmtId="0" fontId="30" fillId="0" borderId="3" xfId="28" applyFont="1" applyFill="1" applyBorder="1" applyAlignment="1">
      <alignment horizontal="left" vertical="top"/>
    </xf>
    <xf numFmtId="0" fontId="30" fillId="0" borderId="5" xfId="28" applyFont="1" applyFill="1" applyBorder="1" applyAlignment="1">
      <alignment horizontal="left" vertical="top"/>
    </xf>
    <xf numFmtId="0" fontId="32" fillId="0" borderId="0" xfId="15" applyFont="1" applyFill="1"/>
    <xf numFmtId="0" fontId="42" fillId="0" borderId="0" xfId="0" applyFont="1" applyAlignment="1">
      <alignment horizontal="left" vertical="center"/>
    </xf>
    <xf numFmtId="0" fontId="24" fillId="0" borderId="0" xfId="15" applyFont="1" applyAlignment="1">
      <alignment horizontal="left" vertical="center"/>
    </xf>
    <xf numFmtId="0" fontId="24" fillId="2" borderId="0" xfId="15" applyFont="1" applyFill="1" applyAlignment="1">
      <alignment horizontal="left" vertical="center"/>
    </xf>
    <xf numFmtId="0" fontId="33" fillId="2" borderId="0" xfId="0" applyFont="1" applyFill="1" applyBorder="1" applyAlignment="1">
      <alignment horizontal="left" vertical="center"/>
    </xf>
    <xf numFmtId="43" fontId="24" fillId="0" borderId="0" xfId="34" applyFont="1" applyBorder="1" applyAlignment="1">
      <alignment horizontal="left" vertical="center"/>
    </xf>
    <xf numFmtId="0" fontId="24" fillId="0" borderId="0" xfId="15" applyFont="1" applyFill="1" applyAlignment="1">
      <alignment horizontal="left" vertical="center"/>
    </xf>
    <xf numFmtId="0" fontId="24" fillId="0" borderId="0" xfId="15" applyFont="1" applyBorder="1" applyAlignment="1">
      <alignment horizontal="left" vertical="center"/>
    </xf>
    <xf numFmtId="0" fontId="24" fillId="5" borderId="0" xfId="15" applyFont="1" applyFill="1" applyAlignment="1">
      <alignment horizontal="left" vertical="center"/>
    </xf>
    <xf numFmtId="43" fontId="53" fillId="0" borderId="6" xfId="1" applyNumberFormat="1" applyFont="1" applyFill="1" applyBorder="1" applyAlignment="1">
      <alignment horizontal="left" vertical="center" wrapText="1"/>
    </xf>
    <xf numFmtId="9" fontId="24" fillId="0" borderId="15" xfId="49" applyFont="1" applyFill="1" applyBorder="1" applyAlignment="1">
      <alignment vertical="top"/>
    </xf>
    <xf numFmtId="0" fontId="52" fillId="4" borderId="3" xfId="0" applyFont="1" applyFill="1" applyBorder="1" applyAlignment="1">
      <alignment horizontal="center" vertical="center"/>
    </xf>
    <xf numFmtId="0" fontId="24" fillId="5" borderId="0" xfId="25" applyFont="1" applyFill="1"/>
    <xf numFmtId="0" fontId="30" fillId="0" borderId="1" xfId="33" applyFont="1" applyFill="1" applyBorder="1" applyAlignment="1">
      <alignment horizontal="center" vertical="center" wrapText="1"/>
    </xf>
    <xf numFmtId="0" fontId="6" fillId="0" borderId="1" xfId="0" applyFont="1" applyFill="1" applyBorder="1" applyAlignment="1">
      <alignment horizontal="center" vertical="center" wrapText="1"/>
    </xf>
    <xf numFmtId="41" fontId="23" fillId="9" borderId="34" xfId="25" applyNumberFormat="1" applyFont="1" applyFill="1" applyBorder="1" applyAlignment="1">
      <alignment vertical="center"/>
    </xf>
    <xf numFmtId="0" fontId="24" fillId="0" borderId="3" xfId="1" applyFont="1" applyFill="1" applyBorder="1" applyAlignment="1">
      <alignment horizontal="left" vertical="center" wrapText="1"/>
    </xf>
    <xf numFmtId="0" fontId="24" fillId="0" borderId="5" xfId="1" applyFont="1" applyFill="1" applyBorder="1" applyAlignment="1">
      <alignment horizontal="left" vertical="center" wrapText="1"/>
    </xf>
    <xf numFmtId="44" fontId="24" fillId="0" borderId="15" xfId="48" applyFont="1" applyFill="1" applyBorder="1" applyAlignment="1">
      <alignment vertical="top"/>
    </xf>
    <xf numFmtId="43" fontId="9" fillId="5" borderId="28" xfId="7" applyNumberFormat="1" applyFont="1" applyFill="1" applyBorder="1"/>
    <xf numFmtId="0" fontId="8" fillId="6" borderId="1" xfId="15" applyFont="1" applyFill="1" applyBorder="1" applyAlignment="1">
      <alignment horizontal="center" vertical="center" wrapText="1"/>
    </xf>
    <xf numFmtId="0" fontId="40" fillId="6" borderId="1" xfId="15" applyFont="1" applyFill="1" applyBorder="1" applyAlignment="1">
      <alignment horizontal="center" vertical="center" wrapText="1"/>
    </xf>
    <xf numFmtId="0" fontId="40" fillId="0" borderId="1" xfId="15" applyFont="1" applyFill="1" applyBorder="1" applyAlignment="1">
      <alignment horizontal="center" vertical="center" wrapText="1"/>
    </xf>
    <xf numFmtId="0" fontId="8" fillId="6" borderId="2" xfId="15" applyFont="1" applyFill="1" applyBorder="1" applyAlignment="1">
      <alignment horizontal="center" vertical="center" wrapText="1"/>
    </xf>
    <xf numFmtId="0" fontId="40" fillId="6" borderId="15" xfId="15" applyFont="1" applyFill="1" applyBorder="1" applyAlignment="1">
      <alignment horizontal="center" vertical="center" wrapText="1"/>
    </xf>
    <xf numFmtId="0" fontId="15" fillId="0" borderId="6" xfId="0" applyFont="1" applyBorder="1" applyAlignment="1">
      <alignment horizontal="left" vertical="top"/>
    </xf>
    <xf numFmtId="0" fontId="16" fillId="0" borderId="0" xfId="0" applyFont="1" applyFill="1" applyBorder="1" applyAlignment="1">
      <alignment horizontal="center" vertical="top"/>
    </xf>
    <xf numFmtId="0" fontId="16" fillId="0" borderId="7" xfId="0" applyFont="1" applyFill="1" applyBorder="1" applyAlignment="1">
      <alignment horizontal="center" vertical="top"/>
    </xf>
    <xf numFmtId="166" fontId="37" fillId="0" borderId="7" xfId="48" applyNumberFormat="1" applyFont="1" applyFill="1" applyBorder="1" applyAlignment="1">
      <alignment horizontal="left" vertical="top"/>
    </xf>
    <xf numFmtId="166" fontId="37" fillId="2" borderId="10" xfId="25" applyNumberFormat="1" applyFont="1" applyFill="1" applyBorder="1" applyAlignment="1">
      <alignment vertical="center"/>
    </xf>
    <xf numFmtId="0" fontId="24" fillId="0" borderId="3" xfId="1" applyFont="1" applyFill="1" applyBorder="1" applyAlignment="1">
      <alignment horizontal="left" vertical="center" wrapText="1"/>
    </xf>
    <xf numFmtId="0" fontId="24" fillId="0" borderId="5" xfId="1" applyFont="1" applyFill="1" applyBorder="1" applyAlignment="1">
      <alignment horizontal="left" vertical="center" wrapText="1"/>
    </xf>
    <xf numFmtId="9" fontId="24" fillId="0" borderId="1" xfId="49" applyFont="1" applyFill="1" applyBorder="1" applyAlignment="1">
      <alignment vertical="top"/>
    </xf>
    <xf numFmtId="0" fontId="21" fillId="0" borderId="1" xfId="33" applyFont="1" applyFill="1" applyBorder="1" applyAlignment="1">
      <alignment horizontal="center" vertical="center" wrapText="1"/>
    </xf>
    <xf numFmtId="43" fontId="24" fillId="15" borderId="1" xfId="34" applyFont="1" applyFill="1" applyBorder="1" applyAlignment="1" applyProtection="1">
      <alignment horizontal="center" vertical="center" wrapText="1"/>
      <protection locked="0"/>
    </xf>
    <xf numFmtId="0" fontId="35" fillId="0" borderId="6" xfId="0" applyFont="1" applyFill="1" applyBorder="1" applyAlignment="1">
      <alignment vertical="center"/>
    </xf>
    <xf numFmtId="0" fontId="52" fillId="10" borderId="11" xfId="15" applyFont="1" applyFill="1" applyBorder="1" applyAlignment="1">
      <alignment horizontal="left" vertical="center" wrapText="1"/>
    </xf>
    <xf numFmtId="0" fontId="29" fillId="10" borderId="0" xfId="15" applyFont="1" applyFill="1" applyBorder="1" applyAlignment="1">
      <alignment horizontal="center" vertical="center" wrapText="1"/>
    </xf>
    <xf numFmtId="0" fontId="29" fillId="10" borderId="12" xfId="15" applyFont="1" applyFill="1" applyBorder="1" applyAlignment="1">
      <alignment horizontal="center" vertical="center" wrapText="1"/>
    </xf>
    <xf numFmtId="0" fontId="29" fillId="10" borderId="13" xfId="15" applyFont="1" applyFill="1" applyBorder="1" applyAlignment="1">
      <alignment horizontal="center" vertical="center" wrapText="1"/>
    </xf>
    <xf numFmtId="14" fontId="6" fillId="0" borderId="15" xfId="0" applyNumberFormat="1" applyFont="1" applyFill="1" applyBorder="1" applyAlignment="1">
      <alignment horizontal="right" vertical="top"/>
    </xf>
    <xf numFmtId="0" fontId="40" fillId="6" borderId="2" xfId="15" applyFont="1" applyFill="1" applyBorder="1" applyAlignment="1">
      <alignment horizontal="left" vertical="center" wrapText="1" indent="1"/>
    </xf>
    <xf numFmtId="0" fontId="40" fillId="6" borderId="16" xfId="15" applyFont="1" applyFill="1" applyBorder="1" applyAlignment="1">
      <alignment horizontal="left" vertical="center" wrapText="1" indent="1"/>
    </xf>
    <xf numFmtId="0" fontId="40" fillId="6" borderId="15" xfId="15" applyFont="1" applyFill="1" applyBorder="1" applyAlignment="1">
      <alignment horizontal="left" vertical="center" wrapText="1" indent="1"/>
    </xf>
    <xf numFmtId="0" fontId="8" fillId="2" borderId="3" xfId="0" applyFont="1" applyFill="1" applyBorder="1" applyAlignment="1">
      <alignment horizontal="left" vertical="top" wrapText="1"/>
    </xf>
    <xf numFmtId="0" fontId="8" fillId="2" borderId="5" xfId="0" applyFont="1" applyFill="1" applyBorder="1" applyAlignment="1">
      <alignment horizontal="left" vertical="top" wrapText="1"/>
    </xf>
    <xf numFmtId="0" fontId="20" fillId="2" borderId="3" xfId="0" quotePrefix="1" applyFont="1" applyFill="1" applyBorder="1" applyAlignment="1">
      <alignment horizontal="left" vertical="top"/>
    </xf>
    <xf numFmtId="0" fontId="20" fillId="2" borderId="5" xfId="0" applyFont="1" applyFill="1" applyBorder="1" applyAlignment="1">
      <alignment horizontal="left" vertical="top"/>
    </xf>
    <xf numFmtId="0" fontId="16" fillId="2" borderId="3" xfId="0" applyFont="1" applyFill="1" applyBorder="1" applyAlignment="1">
      <alignment horizontal="left" vertical="top"/>
    </xf>
    <xf numFmtId="0" fontId="16" fillId="2" borderId="5" xfId="0" applyFont="1" applyFill="1" applyBorder="1" applyAlignment="1">
      <alignment horizontal="left" vertical="top"/>
    </xf>
    <xf numFmtId="0" fontId="8" fillId="2" borderId="3" xfId="0" applyFont="1" applyFill="1" applyBorder="1" applyAlignment="1">
      <alignment horizontal="left" vertical="top"/>
    </xf>
    <xf numFmtId="0" fontId="8" fillId="2" borderId="5" xfId="0" applyFont="1" applyFill="1" applyBorder="1" applyAlignment="1">
      <alignment horizontal="left" vertical="top"/>
    </xf>
    <xf numFmtId="0" fontId="37" fillId="0" borderId="3" xfId="15" applyFont="1" applyFill="1" applyBorder="1" applyAlignment="1">
      <alignment horizontal="left" vertical="center" wrapText="1"/>
    </xf>
    <xf numFmtId="0" fontId="37" fillId="0" borderId="4" xfId="15" applyFont="1" applyFill="1" applyBorder="1" applyAlignment="1">
      <alignment horizontal="left" vertical="center" wrapText="1"/>
    </xf>
    <xf numFmtId="0" fontId="37" fillId="0" borderId="5" xfId="15" applyFont="1" applyFill="1" applyBorder="1" applyAlignment="1">
      <alignment horizontal="left" vertical="center" wrapText="1"/>
    </xf>
    <xf numFmtId="0" fontId="34" fillId="17" borderId="2" xfId="0" applyFont="1" applyFill="1" applyBorder="1" applyAlignment="1" applyProtection="1">
      <alignment horizontal="center" vertical="center" wrapText="1"/>
      <protection hidden="1"/>
    </xf>
    <xf numFmtId="0" fontId="34" fillId="17" borderId="15" xfId="0" applyFont="1" applyFill="1" applyBorder="1" applyAlignment="1" applyProtection="1">
      <alignment horizontal="center" vertical="center" wrapText="1"/>
      <protection hidden="1"/>
    </xf>
    <xf numFmtId="166" fontId="34" fillId="17" borderId="1" xfId="0" applyNumberFormat="1" applyFont="1" applyFill="1" applyBorder="1" applyAlignment="1" applyProtection="1">
      <alignment horizontal="center" vertical="center" wrapText="1"/>
      <protection hidden="1"/>
    </xf>
    <xf numFmtId="0" fontId="24" fillId="0" borderId="11" xfId="0" applyFont="1" applyFill="1" applyBorder="1" applyAlignment="1">
      <alignment vertical="top" wrapText="1"/>
    </xf>
    <xf numFmtId="0" fontId="24" fillId="0" borderId="12" xfId="0" applyFont="1" applyFill="1" applyBorder="1" applyAlignment="1">
      <alignment vertical="top" wrapText="1"/>
    </xf>
    <xf numFmtId="0" fontId="24" fillId="0" borderId="13" xfId="0" applyFont="1" applyFill="1" applyBorder="1" applyAlignment="1">
      <alignment vertical="top" wrapText="1"/>
    </xf>
    <xf numFmtId="0" fontId="40" fillId="0" borderId="6" xfId="0" applyFont="1" applyFill="1" applyBorder="1" applyAlignment="1">
      <alignment vertical="top" wrapText="1"/>
    </xf>
    <xf numFmtId="0" fontId="40" fillId="0" borderId="0" xfId="0" applyFont="1" applyFill="1" applyBorder="1" applyAlignment="1">
      <alignment vertical="top" wrapText="1"/>
    </xf>
    <xf numFmtId="0" fontId="40" fillId="0" borderId="7" xfId="0" applyFont="1" applyFill="1" applyBorder="1" applyAlignment="1">
      <alignment vertical="top" wrapText="1"/>
    </xf>
    <xf numFmtId="0" fontId="40" fillId="0" borderId="8" xfId="0" applyFont="1" applyFill="1" applyBorder="1" applyAlignment="1">
      <alignment vertical="top" wrapText="1"/>
    </xf>
    <xf numFmtId="0" fontId="40" fillId="0" borderId="9" xfId="0" applyFont="1" applyFill="1" applyBorder="1" applyAlignment="1">
      <alignment vertical="top" wrapText="1"/>
    </xf>
    <xf numFmtId="0" fontId="40" fillId="0" borderId="10" xfId="0" applyFont="1" applyFill="1" applyBorder="1" applyAlignment="1">
      <alignment vertical="top" wrapText="1"/>
    </xf>
    <xf numFmtId="0" fontId="34" fillId="16" borderId="2" xfId="0" applyFont="1" applyFill="1" applyBorder="1" applyAlignment="1" applyProtection="1">
      <alignment horizontal="center" vertical="center" wrapText="1"/>
      <protection hidden="1"/>
    </xf>
    <xf numFmtId="0" fontId="34" fillId="16" borderId="15" xfId="0" applyFont="1" applyFill="1" applyBorder="1" applyAlignment="1" applyProtection="1">
      <alignment horizontal="center" vertical="center" wrapText="1"/>
      <protection hidden="1"/>
    </xf>
    <xf numFmtId="0" fontId="9" fillId="12" borderId="11" xfId="0" applyFont="1" applyFill="1" applyBorder="1" applyAlignment="1">
      <alignment horizontal="center" vertical="top"/>
    </xf>
    <xf numFmtId="0" fontId="9" fillId="12" borderId="12" xfId="0" applyFont="1" applyFill="1" applyBorder="1" applyAlignment="1">
      <alignment horizontal="center" vertical="top"/>
    </xf>
    <xf numFmtId="0" fontId="9" fillId="12" borderId="13" xfId="0" applyFont="1" applyFill="1" applyBorder="1" applyAlignment="1">
      <alignment horizontal="center" vertical="top"/>
    </xf>
    <xf numFmtId="0" fontId="9" fillId="12" borderId="3" xfId="0" applyFont="1" applyFill="1" applyBorder="1" applyAlignment="1">
      <alignment horizontal="center" vertical="top"/>
    </xf>
    <xf numFmtId="0" fontId="9" fillId="12" borderId="4" xfId="0" applyFont="1" applyFill="1" applyBorder="1" applyAlignment="1">
      <alignment horizontal="center" vertical="top"/>
    </xf>
    <xf numFmtId="0" fontId="9" fillId="12" borderId="5" xfId="0" applyFont="1" applyFill="1" applyBorder="1" applyAlignment="1">
      <alignment horizontal="center" vertical="top"/>
    </xf>
    <xf numFmtId="0" fontId="9" fillId="0" borderId="11" xfId="15" applyFont="1" applyFill="1" applyBorder="1" applyAlignment="1">
      <alignment vertical="top"/>
    </xf>
    <xf numFmtId="0" fontId="9" fillId="0" borderId="12" xfId="15" applyFont="1" applyFill="1" applyBorder="1" applyAlignment="1">
      <alignment vertical="top"/>
    </xf>
    <xf numFmtId="0" fontId="9" fillId="0" borderId="13" xfId="15" applyFont="1" applyFill="1" applyBorder="1" applyAlignment="1">
      <alignment vertical="top"/>
    </xf>
    <xf numFmtId="0" fontId="40" fillId="0" borderId="6" xfId="15" applyFont="1" applyFill="1" applyBorder="1" applyAlignment="1">
      <alignment horizontal="left" vertical="top"/>
    </xf>
    <xf numFmtId="0" fontId="40" fillId="0" borderId="0" xfId="15" applyFont="1" applyFill="1" applyBorder="1" applyAlignment="1">
      <alignment horizontal="left" vertical="top"/>
    </xf>
    <xf numFmtId="0" fontId="40" fillId="0" borderId="7" xfId="15" applyFont="1" applyFill="1" applyBorder="1" applyAlignment="1">
      <alignment horizontal="left" vertical="top"/>
    </xf>
    <xf numFmtId="0" fontId="22" fillId="0" borderId="6" xfId="0" applyFont="1" applyFill="1" applyBorder="1" applyAlignment="1">
      <alignment vertical="top"/>
    </xf>
    <xf numFmtId="0" fontId="22" fillId="0" borderId="0" xfId="0" applyFont="1" applyFill="1" applyBorder="1" applyAlignment="1">
      <alignment vertical="top"/>
    </xf>
    <xf numFmtId="0" fontId="22" fillId="0" borderId="7" xfId="0" applyFont="1" applyFill="1" applyBorder="1" applyAlignment="1">
      <alignment vertical="top"/>
    </xf>
    <xf numFmtId="0" fontId="55" fillId="0" borderId="6" xfId="0" applyFont="1" applyFill="1" applyBorder="1" applyAlignment="1">
      <alignment vertical="top"/>
    </xf>
    <xf numFmtId="0" fontId="55" fillId="0" borderId="0" xfId="0" applyFont="1" applyFill="1" applyBorder="1" applyAlignment="1">
      <alignment vertical="top"/>
    </xf>
    <xf numFmtId="0" fontId="55" fillId="0" borderId="7" xfId="0" applyFont="1" applyFill="1" applyBorder="1" applyAlignment="1">
      <alignment vertical="top"/>
    </xf>
    <xf numFmtId="0" fontId="55" fillId="0" borderId="8" xfId="0" applyFont="1" applyFill="1" applyBorder="1" applyAlignment="1">
      <alignment vertical="top"/>
    </xf>
    <xf numFmtId="0" fontId="55" fillId="0" borderId="9" xfId="0" applyFont="1" applyFill="1" applyBorder="1" applyAlignment="1">
      <alignment vertical="top"/>
    </xf>
    <xf numFmtId="0" fontId="55" fillId="0" borderId="10" xfId="0" applyFont="1" applyFill="1" applyBorder="1" applyAlignment="1">
      <alignment vertical="top"/>
    </xf>
    <xf numFmtId="0" fontId="24" fillId="8" borderId="3" xfId="1" applyFont="1" applyFill="1" applyBorder="1" applyAlignment="1">
      <alignment horizontal="left" vertical="center"/>
    </xf>
    <xf numFmtId="0" fontId="24" fillId="8" borderId="5" xfId="1" applyFont="1" applyFill="1" applyBorder="1" applyAlignment="1">
      <alignment horizontal="left" vertical="center"/>
    </xf>
    <xf numFmtId="0" fontId="30" fillId="8" borderId="3" xfId="28" applyFont="1" applyFill="1" applyBorder="1" applyAlignment="1">
      <alignment horizontal="left" vertical="center"/>
    </xf>
    <xf numFmtId="0" fontId="30" fillId="8" borderId="5" xfId="28" applyFont="1" applyFill="1" applyBorder="1" applyAlignment="1">
      <alignment horizontal="left" vertical="center"/>
    </xf>
    <xf numFmtId="0" fontId="30" fillId="8" borderId="3" xfId="28" applyFont="1" applyFill="1" applyBorder="1" applyAlignment="1">
      <alignment horizontal="left" vertical="center" wrapText="1"/>
    </xf>
    <xf numFmtId="0" fontId="30" fillId="8" borderId="5" xfId="28" applyFont="1" applyFill="1" applyBorder="1" applyAlignment="1">
      <alignment horizontal="left" vertical="center" wrapText="1"/>
    </xf>
    <xf numFmtId="0" fontId="34" fillId="17" borderId="9" xfId="28" applyFont="1" applyFill="1" applyBorder="1" applyAlignment="1">
      <alignment horizontal="left" vertical="center"/>
    </xf>
    <xf numFmtId="0" fontId="34" fillId="17" borderId="10" xfId="28" applyFont="1" applyFill="1" applyBorder="1" applyAlignment="1">
      <alignment horizontal="left" vertical="center"/>
    </xf>
    <xf numFmtId="0" fontId="30" fillId="0" borderId="3" xfId="28" applyFont="1" applyFill="1" applyBorder="1" applyAlignment="1">
      <alignment horizontal="left" vertical="top"/>
    </xf>
    <xf numFmtId="0" fontId="30" fillId="0" borderId="5" xfId="28" applyFont="1" applyFill="1" applyBorder="1" applyAlignment="1">
      <alignment horizontal="left" vertical="top"/>
    </xf>
    <xf numFmtId="0" fontId="24" fillId="0" borderId="3" xfId="1" applyFont="1" applyFill="1" applyBorder="1" applyAlignment="1">
      <alignment horizontal="left" vertical="top"/>
    </xf>
    <xf numFmtId="0" fontId="24" fillId="0" borderId="5" xfId="1" applyFont="1" applyFill="1" applyBorder="1" applyAlignment="1">
      <alignment horizontal="left" vertical="top"/>
    </xf>
    <xf numFmtId="0" fontId="22" fillId="12" borderId="3" xfId="1" applyFont="1" applyFill="1" applyBorder="1" applyAlignment="1">
      <alignment horizontal="left" vertical="center" indent="1"/>
    </xf>
    <xf numFmtId="0" fontId="22" fillId="12" borderId="5" xfId="1" applyFont="1" applyFill="1" applyBorder="1" applyAlignment="1">
      <alignment horizontal="left" vertical="center" indent="1"/>
    </xf>
    <xf numFmtId="0" fontId="22" fillId="12" borderId="1" xfId="1" applyFont="1" applyFill="1" applyBorder="1" applyAlignment="1">
      <alignment horizontal="left" vertical="center" indent="1"/>
    </xf>
    <xf numFmtId="0" fontId="30" fillId="0" borderId="3" xfId="28" applyFont="1" applyFill="1" applyBorder="1" applyAlignment="1">
      <alignment horizontal="left" vertical="top" wrapText="1"/>
    </xf>
    <xf numFmtId="0" fontId="30" fillId="0" borderId="5" xfId="28" applyFont="1" applyFill="1" applyBorder="1" applyAlignment="1">
      <alignment horizontal="left" vertical="top" wrapText="1"/>
    </xf>
    <xf numFmtId="0" fontId="30" fillId="0" borderId="3" xfId="28" applyFont="1" applyFill="1" applyBorder="1" applyAlignment="1">
      <alignment horizontal="left"/>
    </xf>
    <xf numFmtId="0" fontId="30" fillId="0" borderId="5" xfId="28" applyFont="1" applyFill="1" applyBorder="1" applyAlignment="1">
      <alignment horizontal="left"/>
    </xf>
    <xf numFmtId="0" fontId="24" fillId="0" borderId="3" xfId="1" applyFont="1" applyFill="1" applyBorder="1" applyAlignment="1">
      <alignment horizontal="left"/>
    </xf>
    <xf numFmtId="0" fontId="24" fillId="0" borderId="5" xfId="1" applyFont="1" applyFill="1" applyBorder="1" applyAlignment="1">
      <alignment horizontal="left"/>
    </xf>
    <xf numFmtId="0" fontId="22" fillId="12" borderId="4" xfId="1" applyFont="1" applyFill="1" applyBorder="1" applyAlignment="1">
      <alignment horizontal="left" vertical="center" indent="1"/>
    </xf>
    <xf numFmtId="0" fontId="24" fillId="0" borderId="3" xfId="1" applyFont="1" applyFill="1" applyBorder="1" applyAlignment="1">
      <alignment horizontal="left" vertical="top" wrapText="1"/>
    </xf>
    <xf numFmtId="0" fontId="24" fillId="0" borderId="5" xfId="1" applyFont="1" applyFill="1" applyBorder="1" applyAlignment="1">
      <alignment horizontal="left" vertical="top" wrapText="1"/>
    </xf>
    <xf numFmtId="0" fontId="9" fillId="8" borderId="11" xfId="1" applyFont="1" applyFill="1" applyBorder="1" applyAlignment="1">
      <alignment horizontal="right"/>
    </xf>
    <xf numFmtId="0" fontId="9" fillId="8" borderId="13" xfId="1" applyFont="1" applyFill="1" applyBorder="1" applyAlignment="1">
      <alignment horizontal="right"/>
    </xf>
    <xf numFmtId="0" fontId="9" fillId="12" borderId="3" xfId="1" applyFont="1" applyFill="1" applyBorder="1" applyAlignment="1">
      <alignment horizontal="left" vertical="center" indent="1"/>
    </xf>
    <xf numFmtId="0" fontId="9" fillId="12" borderId="4" xfId="1" applyFont="1" applyFill="1" applyBorder="1" applyAlignment="1">
      <alignment horizontal="left" vertical="center" indent="1"/>
    </xf>
    <xf numFmtId="0" fontId="9" fillId="12" borderId="5" xfId="1" applyFont="1" applyFill="1" applyBorder="1" applyAlignment="1">
      <alignment horizontal="left" vertical="center" indent="1"/>
    </xf>
    <xf numFmtId="0" fontId="59" fillId="0" borderId="3" xfId="33" applyFont="1" applyFill="1" applyBorder="1" applyAlignment="1">
      <alignment horizontal="center" vertical="center"/>
    </xf>
    <xf numFmtId="0" fontId="59" fillId="0" borderId="4" xfId="33" applyFont="1" applyFill="1" applyBorder="1" applyAlignment="1">
      <alignment horizontal="center" vertical="center"/>
    </xf>
    <xf numFmtId="0" fontId="59" fillId="0" borderId="5" xfId="33" applyFont="1" applyFill="1" applyBorder="1" applyAlignment="1">
      <alignment horizontal="center" vertical="center"/>
    </xf>
    <xf numFmtId="0" fontId="34" fillId="4" borderId="3" xfId="15" applyFont="1" applyFill="1" applyBorder="1" applyAlignment="1">
      <alignment horizontal="center" vertical="center" wrapText="1"/>
    </xf>
    <xf numFmtId="0" fontId="34" fillId="4" borderId="4" xfId="15" applyFont="1" applyFill="1" applyBorder="1" applyAlignment="1">
      <alignment horizontal="center" vertical="center" wrapText="1"/>
    </xf>
    <xf numFmtId="0" fontId="34" fillId="4" borderId="5" xfId="15" applyFont="1" applyFill="1" applyBorder="1" applyAlignment="1">
      <alignment horizontal="center" vertical="center" wrapText="1"/>
    </xf>
    <xf numFmtId="43" fontId="53" fillId="0" borderId="13" xfId="10" applyNumberFormat="1" applyFont="1" applyFill="1" applyBorder="1" applyAlignment="1">
      <alignment horizontal="center" vertical="center"/>
    </xf>
    <xf numFmtId="43" fontId="53" fillId="0" borderId="7" xfId="10" applyNumberFormat="1" applyFont="1" applyFill="1" applyBorder="1" applyAlignment="1">
      <alignment horizontal="center" vertical="center"/>
    </xf>
    <xf numFmtId="43" fontId="53" fillId="0" borderId="10" xfId="10" applyNumberFormat="1" applyFont="1" applyFill="1" applyBorder="1" applyAlignment="1">
      <alignment horizontal="center" vertical="center"/>
    </xf>
    <xf numFmtId="0" fontId="30" fillId="8" borderId="3" xfId="28" applyFont="1" applyFill="1" applyBorder="1" applyAlignment="1">
      <alignment vertical="center" wrapText="1"/>
    </xf>
    <xf numFmtId="0" fontId="30" fillId="8" borderId="5" xfId="28" applyFont="1" applyFill="1" applyBorder="1" applyAlignment="1">
      <alignment vertical="center" wrapText="1"/>
    </xf>
    <xf numFmtId="0" fontId="22" fillId="8" borderId="3" xfId="28" applyFont="1" applyFill="1" applyBorder="1" applyAlignment="1">
      <alignment horizontal="left" vertical="center"/>
    </xf>
    <xf numFmtId="0" fontId="22" fillId="8" borderId="5" xfId="28" applyFont="1" applyFill="1" applyBorder="1" applyAlignment="1">
      <alignment horizontal="left" vertical="center"/>
    </xf>
    <xf numFmtId="0" fontId="24" fillId="0" borderId="3" xfId="1" applyFont="1" applyFill="1" applyBorder="1" applyAlignment="1">
      <alignment horizontal="center" vertical="top" wrapText="1"/>
    </xf>
    <xf numFmtId="0" fontId="24" fillId="0" borderId="5" xfId="1" applyFont="1" applyFill="1" applyBorder="1" applyAlignment="1">
      <alignment horizontal="center" vertical="top" wrapText="1"/>
    </xf>
    <xf numFmtId="0" fontId="24" fillId="2" borderId="3" xfId="15" applyFont="1" applyFill="1" applyBorder="1" applyAlignment="1">
      <alignment horizontal="left" vertical="center" wrapText="1"/>
    </xf>
    <xf numFmtId="0" fontId="24" fillId="2" borderId="4" xfId="15" applyFont="1" applyFill="1" applyBorder="1" applyAlignment="1">
      <alignment horizontal="left" vertical="center" wrapText="1"/>
    </xf>
    <xf numFmtId="0" fontId="24" fillId="2" borderId="5" xfId="15" applyFont="1" applyFill="1" applyBorder="1" applyAlignment="1">
      <alignment horizontal="left" vertical="center" wrapText="1"/>
    </xf>
    <xf numFmtId="0" fontId="34" fillId="17" borderId="3" xfId="0" applyFont="1" applyFill="1" applyBorder="1" applyAlignment="1">
      <alignment horizontal="center" vertical="center"/>
    </xf>
    <xf numFmtId="0" fontId="34" fillId="17" borderId="5" xfId="0" applyFont="1" applyFill="1" applyBorder="1" applyAlignment="1">
      <alignment horizontal="center" vertical="center"/>
    </xf>
    <xf numFmtId="0" fontId="24" fillId="8" borderId="3" xfId="1" applyFont="1" applyFill="1" applyBorder="1" applyAlignment="1">
      <alignment horizontal="center" vertical="center" wrapText="1"/>
    </xf>
    <xf numFmtId="0" fontId="24" fillId="8" borderId="5" xfId="1" applyFont="1" applyFill="1" applyBorder="1" applyAlignment="1">
      <alignment horizontal="center" vertical="center" wrapText="1"/>
    </xf>
    <xf numFmtId="0" fontId="34" fillId="17" borderId="3" xfId="1" applyFont="1" applyFill="1" applyBorder="1" applyAlignment="1">
      <alignment horizontal="center" vertical="center"/>
    </xf>
    <xf numFmtId="0" fontId="34" fillId="17" borderId="5" xfId="1" applyFont="1" applyFill="1" applyBorder="1" applyAlignment="1">
      <alignment horizontal="center" vertical="center"/>
    </xf>
    <xf numFmtId="0" fontId="24" fillId="0" borderId="3" xfId="1" applyFont="1" applyFill="1" applyBorder="1" applyAlignment="1">
      <alignment horizontal="left" vertical="center" wrapText="1"/>
    </xf>
    <xf numFmtId="0" fontId="24" fillId="0" borderId="5" xfId="1" applyFont="1" applyFill="1" applyBorder="1" applyAlignment="1">
      <alignment horizontal="left" vertical="center" wrapText="1"/>
    </xf>
    <xf numFmtId="0" fontId="60" fillId="0" borderId="3" xfId="1" applyFont="1" applyFill="1" applyBorder="1" applyAlignment="1">
      <alignment horizontal="left" vertical="center" wrapText="1"/>
    </xf>
    <xf numFmtId="0" fontId="60" fillId="0" borderId="5" xfId="1" applyFont="1" applyFill="1" applyBorder="1" applyAlignment="1">
      <alignment horizontal="left" vertical="center" wrapText="1"/>
    </xf>
    <xf numFmtId="0" fontId="24" fillId="0" borderId="3" xfId="1" applyFont="1" applyFill="1" applyBorder="1" applyAlignment="1">
      <alignment vertical="top"/>
    </xf>
    <xf numFmtId="0" fontId="24" fillId="0" borderId="5" xfId="1" applyFont="1" applyFill="1" applyBorder="1" applyAlignment="1">
      <alignment vertical="top"/>
    </xf>
    <xf numFmtId="0" fontId="24" fillId="8" borderId="3" xfId="1" applyFont="1" applyFill="1" applyBorder="1" applyAlignment="1">
      <alignment vertical="center"/>
    </xf>
    <xf numFmtId="0" fontId="24" fillId="8" borderId="5" xfId="1" applyFont="1" applyFill="1" applyBorder="1" applyAlignment="1">
      <alignment vertical="center"/>
    </xf>
    <xf numFmtId="0" fontId="30" fillId="8" borderId="3" xfId="28" applyFont="1" applyFill="1" applyBorder="1" applyAlignment="1">
      <alignment vertical="center"/>
    </xf>
    <xf numFmtId="0" fontId="30" fillId="8" borderId="5" xfId="28" applyFont="1" applyFill="1" applyBorder="1" applyAlignment="1">
      <alignment vertical="center"/>
    </xf>
    <xf numFmtId="0" fontId="30" fillId="0" borderId="3" xfId="28" applyFont="1" applyFill="1" applyBorder="1" applyAlignment="1">
      <alignment vertical="top"/>
    </xf>
    <xf numFmtId="0" fontId="30" fillId="0" borderId="5" xfId="28" applyFont="1" applyFill="1" applyBorder="1" applyAlignment="1">
      <alignment vertical="top"/>
    </xf>
    <xf numFmtId="0" fontId="30" fillId="0" borderId="3" xfId="28" applyFont="1" applyFill="1" applyBorder="1" applyAlignment="1">
      <alignment vertical="top" wrapText="1"/>
    </xf>
    <xf numFmtId="0" fontId="30" fillId="0" borderId="5" xfId="28" applyFont="1" applyFill="1" applyBorder="1" applyAlignment="1">
      <alignment vertical="top" wrapText="1"/>
    </xf>
    <xf numFmtId="0" fontId="40" fillId="0" borderId="1" xfId="0" applyFont="1" applyFill="1" applyBorder="1" applyAlignment="1">
      <alignment vertical="top" wrapText="1"/>
    </xf>
    <xf numFmtId="0" fontId="40" fillId="0" borderId="3" xfId="0" applyFont="1" applyFill="1" applyBorder="1" applyAlignment="1">
      <alignment horizontal="left" vertical="center" wrapText="1"/>
    </xf>
    <xf numFmtId="0" fontId="40" fillId="0" borderId="5" xfId="0" applyFont="1" applyFill="1" applyBorder="1" applyAlignment="1">
      <alignment horizontal="left" vertical="center" wrapText="1"/>
    </xf>
    <xf numFmtId="0" fontId="40" fillId="0" borderId="3" xfId="0" applyFont="1" applyFill="1" applyBorder="1" applyAlignment="1">
      <alignment horizontal="center" vertical="center" wrapText="1"/>
    </xf>
    <xf numFmtId="0" fontId="40" fillId="0" borderId="5" xfId="0" applyFont="1" applyFill="1" applyBorder="1" applyAlignment="1">
      <alignment horizontal="center" vertical="center" wrapText="1"/>
    </xf>
    <xf numFmtId="0" fontId="40" fillId="0" borderId="1" xfId="0" applyFont="1" applyFill="1" applyBorder="1" applyAlignment="1">
      <alignment horizontal="left" vertical="top" wrapText="1"/>
    </xf>
    <xf numFmtId="0" fontId="24" fillId="0" borderId="3" xfId="15" applyFont="1" applyFill="1" applyBorder="1" applyAlignment="1">
      <alignment horizontal="left" vertical="center" wrapText="1"/>
    </xf>
    <xf numFmtId="0" fontId="24" fillId="0" borderId="4" xfId="15" applyFont="1" applyFill="1" applyBorder="1" applyAlignment="1">
      <alignment horizontal="left" vertical="center" wrapText="1"/>
    </xf>
    <xf numFmtId="0" fontId="24" fillId="0" borderId="5" xfId="15" applyFont="1" applyFill="1" applyBorder="1" applyAlignment="1">
      <alignment horizontal="left" vertical="center" wrapText="1"/>
    </xf>
    <xf numFmtId="43" fontId="34" fillId="4" borderId="8" xfId="0" applyNumberFormat="1" applyFont="1" applyFill="1" applyBorder="1" applyAlignment="1">
      <alignment horizontal="center" vertical="center" wrapText="1"/>
    </xf>
    <xf numFmtId="43" fontId="34" fillId="4" borderId="9" xfId="0" applyNumberFormat="1" applyFont="1" applyFill="1" applyBorder="1" applyAlignment="1">
      <alignment horizontal="center" vertical="center" wrapText="1"/>
    </xf>
    <xf numFmtId="43" fontId="34" fillId="4" borderId="1" xfId="0" applyNumberFormat="1" applyFont="1" applyFill="1" applyBorder="1" applyAlignment="1">
      <alignment horizontal="center" vertical="center" wrapText="1"/>
    </xf>
    <xf numFmtId="43" fontId="34" fillId="4" borderId="3" xfId="0" applyNumberFormat="1" applyFont="1" applyFill="1" applyBorder="1" applyAlignment="1">
      <alignment horizontal="center" vertical="center" wrapText="1"/>
    </xf>
    <xf numFmtId="43" fontId="34" fillId="4" borderId="4" xfId="0" applyNumberFormat="1" applyFont="1" applyFill="1" applyBorder="1" applyAlignment="1">
      <alignment horizontal="center" vertical="center" wrapText="1"/>
    </xf>
    <xf numFmtId="43" fontId="34" fillId="4" borderId="5" xfId="0" applyNumberFormat="1" applyFont="1" applyFill="1" applyBorder="1" applyAlignment="1">
      <alignment horizontal="center" vertical="center" wrapText="1"/>
    </xf>
    <xf numFmtId="43" fontId="34" fillId="4" borderId="1" xfId="0" applyNumberFormat="1" applyFont="1" applyFill="1" applyBorder="1" applyAlignment="1">
      <alignment horizontal="center" vertical="center"/>
    </xf>
    <xf numFmtId="43" fontId="34" fillId="4" borderId="3" xfId="0" applyNumberFormat="1" applyFont="1" applyFill="1" applyBorder="1" applyAlignment="1">
      <alignment horizontal="center" vertical="center"/>
    </xf>
    <xf numFmtId="43" fontId="34" fillId="4" borderId="4" xfId="0" applyNumberFormat="1" applyFont="1" applyFill="1" applyBorder="1" applyAlignment="1">
      <alignment horizontal="center" vertical="center"/>
    </xf>
    <xf numFmtId="0" fontId="34" fillId="10" borderId="16" xfId="15" applyFont="1" applyFill="1" applyBorder="1" applyAlignment="1">
      <alignment horizontal="center" vertical="center" wrapText="1"/>
    </xf>
    <xf numFmtId="0" fontId="34" fillId="10" borderId="15" xfId="15" applyFont="1" applyFill="1" applyBorder="1" applyAlignment="1">
      <alignment horizontal="center" vertical="center" wrapText="1"/>
    </xf>
    <xf numFmtId="0" fontId="41" fillId="4" borderId="2" xfId="1" applyFont="1" applyFill="1" applyBorder="1" applyAlignment="1">
      <alignment horizontal="center" vertical="center" wrapText="1"/>
    </xf>
    <xf numFmtId="0" fontId="41" fillId="4" borderId="15" xfId="1" applyFont="1" applyFill="1" applyBorder="1" applyAlignment="1">
      <alignment horizontal="center" vertical="center" wrapText="1"/>
    </xf>
    <xf numFmtId="0" fontId="24" fillId="0" borderId="1" xfId="15" applyFont="1" applyFill="1" applyBorder="1" applyAlignment="1">
      <alignment vertical="center" wrapText="1"/>
    </xf>
    <xf numFmtId="0" fontId="41" fillId="4" borderId="23" xfId="1" applyFont="1" applyFill="1" applyBorder="1" applyAlignment="1">
      <alignment horizontal="left" vertical="center" wrapText="1"/>
    </xf>
    <xf numFmtId="0" fontId="41" fillId="4" borderId="24" xfId="1" applyFont="1" applyFill="1" applyBorder="1" applyAlignment="1">
      <alignment horizontal="left" vertical="center" wrapText="1"/>
    </xf>
    <xf numFmtId="0" fontId="9" fillId="8" borderId="20" xfId="1" applyFont="1" applyFill="1" applyBorder="1" applyAlignment="1">
      <alignment horizontal="left" vertical="center" wrapText="1"/>
    </xf>
    <xf numFmtId="0" fontId="9" fillId="8" borderId="21" xfId="1" applyFont="1" applyFill="1" applyBorder="1" applyAlignment="1">
      <alignment horizontal="left" vertical="center" wrapText="1"/>
    </xf>
    <xf numFmtId="0" fontId="9" fillId="8" borderId="30" xfId="1" applyFont="1" applyFill="1" applyBorder="1" applyAlignment="1">
      <alignment horizontal="left" vertical="center" wrapText="1"/>
    </xf>
    <xf numFmtId="0" fontId="34" fillId="4" borderId="22" xfId="1" applyFont="1" applyFill="1" applyBorder="1" applyAlignment="1">
      <alignment horizontal="left" vertical="center" wrapText="1"/>
    </xf>
    <xf numFmtId="0" fontId="34" fillId="4" borderId="5" xfId="1" applyFont="1" applyFill="1" applyBorder="1" applyAlignment="1">
      <alignment horizontal="left" vertical="center" wrapText="1"/>
    </xf>
    <xf numFmtId="0" fontId="34" fillId="4" borderId="23" xfId="1" applyFont="1" applyFill="1" applyBorder="1" applyAlignment="1">
      <alignment horizontal="left" vertical="center" wrapText="1"/>
    </xf>
    <xf numFmtId="0" fontId="34" fillId="4" borderId="24" xfId="1" applyFont="1" applyFill="1" applyBorder="1" applyAlignment="1">
      <alignment horizontal="left" vertical="center" wrapText="1"/>
    </xf>
    <xf numFmtId="0" fontId="41" fillId="4" borderId="1" xfId="1" applyFont="1" applyFill="1" applyBorder="1" applyAlignment="1">
      <alignment horizontal="left" vertical="center" wrapText="1"/>
    </xf>
    <xf numFmtId="14" fontId="41" fillId="4" borderId="2" xfId="1" applyNumberFormat="1" applyFont="1" applyFill="1" applyBorder="1" applyAlignment="1">
      <alignment horizontal="center" vertical="center" wrapText="1"/>
    </xf>
    <xf numFmtId="14" fontId="41" fillId="4" borderId="16" xfId="1" applyNumberFormat="1" applyFont="1" applyFill="1" applyBorder="1" applyAlignment="1">
      <alignment horizontal="center" vertical="center" wrapText="1"/>
    </xf>
    <xf numFmtId="14" fontId="41" fillId="4" borderId="15" xfId="1" applyNumberFormat="1" applyFont="1" applyFill="1" applyBorder="1" applyAlignment="1">
      <alignment horizontal="center" vertical="center" wrapText="1"/>
    </xf>
    <xf numFmtId="0" fontId="41" fillId="4" borderId="22" xfId="1" applyFont="1" applyFill="1" applyBorder="1" applyAlignment="1">
      <alignment horizontal="left" vertical="center" wrapText="1"/>
    </xf>
    <xf numFmtId="0" fontId="41" fillId="4" borderId="5" xfId="1" applyFont="1" applyFill="1" applyBorder="1" applyAlignment="1">
      <alignment horizontal="left" vertical="center" wrapText="1"/>
    </xf>
    <xf numFmtId="0" fontId="41" fillId="16" borderId="22" xfId="1" applyFont="1" applyFill="1" applyBorder="1" applyAlignment="1">
      <alignment horizontal="left" vertical="center" wrapText="1"/>
    </xf>
    <xf numFmtId="0" fontId="41" fillId="16" borderId="4" xfId="1" applyFont="1" applyFill="1" applyBorder="1" applyAlignment="1">
      <alignment horizontal="left" vertical="center" wrapText="1"/>
    </xf>
    <xf numFmtId="0" fontId="41" fillId="16" borderId="35" xfId="1" applyFont="1" applyFill="1" applyBorder="1" applyAlignment="1">
      <alignment horizontal="left" vertical="center" wrapText="1"/>
    </xf>
    <xf numFmtId="0" fontId="6" fillId="0" borderId="0" xfId="32" applyNumberFormat="1" applyFont="1" applyAlignment="1">
      <alignment vertical="top" wrapText="1"/>
    </xf>
  </cellXfs>
  <cellStyles count="52">
    <cellStyle name="Bad 2" xfId="50" xr:uid="{00000000-0005-0000-0000-000000000000}"/>
    <cellStyle name="Calculation 2" xfId="30" xr:uid="{00000000-0005-0000-0000-000001000000}"/>
    <cellStyle name="Comma" xfId="34" builtinId="3"/>
    <cellStyle name="Comma 10 2" xfId="31" xr:uid="{00000000-0005-0000-0000-000003000000}"/>
    <cellStyle name="Comma 2" xfId="7" xr:uid="{00000000-0005-0000-0000-000004000000}"/>
    <cellStyle name="Comma 2 2" xfId="8" xr:uid="{00000000-0005-0000-0000-000005000000}"/>
    <cellStyle name="Comma 2 3" xfId="5" xr:uid="{00000000-0005-0000-0000-000006000000}"/>
    <cellStyle name="Comma 3" xfId="9" xr:uid="{00000000-0005-0000-0000-000007000000}"/>
    <cellStyle name="Comma 4" xfId="26" xr:uid="{00000000-0005-0000-0000-000008000000}"/>
    <cellStyle name="Comma 7" xfId="40" xr:uid="{00000000-0005-0000-0000-000009000000}"/>
    <cellStyle name="Currency" xfId="48" builtinId="4"/>
    <cellStyle name="Currency 2" xfId="10" xr:uid="{00000000-0005-0000-0000-00000B000000}"/>
    <cellStyle name="Currency 2 2" xfId="51" xr:uid="{00000000-0005-0000-0000-00000C000000}"/>
    <cellStyle name="Currency 3" xfId="11" xr:uid="{00000000-0005-0000-0000-00000D000000}"/>
    <cellStyle name="Currency 4" xfId="46" xr:uid="{00000000-0005-0000-0000-00000E000000}"/>
    <cellStyle name="Heading" xfId="12" xr:uid="{00000000-0005-0000-0000-00000F000000}"/>
    <cellStyle name="Heading 5" xfId="13" xr:uid="{00000000-0005-0000-0000-000010000000}"/>
    <cellStyle name="Heading 6" xfId="14" xr:uid="{00000000-0005-0000-0000-000011000000}"/>
    <cellStyle name="Hyperlink" xfId="33" builtinId="8"/>
    <cellStyle name="Normal" xfId="0" builtinId="0"/>
    <cellStyle name="Normal 10" xfId="25" xr:uid="{00000000-0005-0000-0000-000014000000}"/>
    <cellStyle name="Normal 10 2" xfId="44" xr:uid="{00000000-0005-0000-0000-000015000000}"/>
    <cellStyle name="Normal 10 3" xfId="43" xr:uid="{00000000-0005-0000-0000-000016000000}"/>
    <cellStyle name="Normal 2" xfId="15" xr:uid="{00000000-0005-0000-0000-000017000000}"/>
    <cellStyle name="Normal 2 10" xfId="3" xr:uid="{00000000-0005-0000-0000-000018000000}"/>
    <cellStyle name="Normal 2 2" xfId="1" xr:uid="{00000000-0005-0000-0000-000019000000}"/>
    <cellStyle name="Normal 2 2 2" xfId="28" xr:uid="{00000000-0005-0000-0000-00001A000000}"/>
    <cellStyle name="Normal 2 2 2 2" xfId="29" xr:uid="{00000000-0005-0000-0000-00001B000000}"/>
    <cellStyle name="Normal 2 2 3" xfId="24" xr:uid="{00000000-0005-0000-0000-00001C000000}"/>
    <cellStyle name="Normal 2 3" xfId="39" xr:uid="{00000000-0005-0000-0000-00001D000000}"/>
    <cellStyle name="Normal 2 3 2" xfId="42" xr:uid="{00000000-0005-0000-0000-00001E000000}"/>
    <cellStyle name="Normal 2 3 3" xfId="36" xr:uid="{00000000-0005-0000-0000-00001F000000}"/>
    <cellStyle name="Normal 23" xfId="16" xr:uid="{00000000-0005-0000-0000-000020000000}"/>
    <cellStyle name="Normal 3" xfId="17" xr:uid="{00000000-0005-0000-0000-000021000000}"/>
    <cellStyle name="Normal 3 2" xfId="6" xr:uid="{00000000-0005-0000-0000-000022000000}"/>
    <cellStyle name="Normal 3 2 2" xfId="18" xr:uid="{00000000-0005-0000-0000-000023000000}"/>
    <cellStyle name="Normal 3 3" xfId="4" xr:uid="{00000000-0005-0000-0000-000024000000}"/>
    <cellStyle name="Normal 3 3 2" xfId="35" xr:uid="{00000000-0005-0000-0000-000025000000}"/>
    <cellStyle name="Normal 3 4" xfId="27" xr:uid="{00000000-0005-0000-0000-000026000000}"/>
    <cellStyle name="Normal 3 5" xfId="38" xr:uid="{00000000-0005-0000-0000-000027000000}"/>
    <cellStyle name="Normal 4" xfId="32" xr:uid="{00000000-0005-0000-0000-000028000000}"/>
    <cellStyle name="Normal 4 2" xfId="37" xr:uid="{00000000-0005-0000-0000-000029000000}"/>
    <cellStyle name="Normal 5" xfId="47" xr:uid="{00000000-0005-0000-0000-00002A000000}"/>
    <cellStyle name="Normal 8" xfId="19" xr:uid="{00000000-0005-0000-0000-00002B000000}"/>
    <cellStyle name="Normal 8 2" xfId="45" xr:uid="{00000000-0005-0000-0000-00002C000000}"/>
    <cellStyle name="Normal_SHEET" xfId="2" xr:uid="{00000000-0005-0000-0000-00002D000000}"/>
    <cellStyle name="Percent" xfId="49" builtinId="5"/>
    <cellStyle name="Percent (0)" xfId="20" xr:uid="{00000000-0005-0000-0000-000030000000}"/>
    <cellStyle name="Percent 2" xfId="21" xr:uid="{00000000-0005-0000-0000-000031000000}"/>
    <cellStyle name="Percent 3" xfId="22" xr:uid="{00000000-0005-0000-0000-000032000000}"/>
    <cellStyle name="Percent 7" xfId="41" xr:uid="{00000000-0005-0000-0000-000033000000}"/>
    <cellStyle name="Tickmark" xfId="23" xr:uid="{00000000-0005-0000-0000-000034000000}"/>
  </cellStyles>
  <dxfs count="113">
    <dxf>
      <font>
        <color rgb="FF006100"/>
      </font>
      <fill>
        <patternFill>
          <bgColor rgb="FFC6EFCE"/>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
      <font>
        <color rgb="FFC00000"/>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patternType="none">
          <bgColor auto="1"/>
        </patternFill>
      </fill>
    </dxf>
    <dxf>
      <font>
        <color rgb="FF9C0006"/>
      </font>
      <fill>
        <patternFill>
          <bgColor rgb="FFFFC7CE"/>
        </patternFill>
      </fill>
    </dxf>
    <dxf>
      <font>
        <color rgb="FF006100"/>
      </font>
      <fill>
        <patternFill>
          <bgColor rgb="FFC6EFCE"/>
        </patternFill>
      </fill>
    </dxf>
    <dxf>
      <font>
        <color rgb="FF00610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
      <font>
        <color rgb="FFC00000"/>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patternType="none">
          <bgColor auto="1"/>
        </patternFill>
      </fill>
    </dxf>
    <dxf>
      <font>
        <color rgb="FF9C0006"/>
      </font>
      <fill>
        <patternFill>
          <bgColor rgb="FFFFC7CE"/>
        </patternFill>
      </fill>
    </dxf>
    <dxf>
      <font>
        <color rgb="FF006100"/>
      </font>
      <fill>
        <patternFill>
          <bgColor rgb="FFC6EFCE"/>
        </patternFill>
      </fill>
    </dxf>
    <dxf>
      <font>
        <color rgb="FF00610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
      <font>
        <color rgb="FFC00000"/>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patternType="none">
          <bgColor auto="1"/>
        </patternFill>
      </fill>
    </dxf>
    <dxf>
      <font>
        <color rgb="FF9C0006"/>
      </font>
      <fill>
        <patternFill>
          <bgColor rgb="FFFFC7CE"/>
        </patternFill>
      </fill>
    </dxf>
    <dxf>
      <font>
        <color rgb="FF006100"/>
      </font>
      <fill>
        <patternFill>
          <bgColor rgb="FFC6EFCE"/>
        </patternFill>
      </fill>
    </dxf>
    <dxf>
      <font>
        <color rgb="FF006100"/>
      </font>
      <fill>
        <patternFill patternType="none">
          <bgColor auto="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
      <font>
        <color rgb="FFC00000"/>
      </font>
      <fill>
        <patternFill>
          <bgColor rgb="FFFFCCCC"/>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
      <font>
        <color rgb="FFC00000"/>
      </font>
      <fill>
        <patternFill>
          <bgColor rgb="FFFFC7CE"/>
        </patternFill>
      </fill>
    </dxf>
    <dxf>
      <font>
        <color rgb="FF006100"/>
      </font>
      <fill>
        <patternFill>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9C0006"/>
      </font>
      <fill>
        <patternFill>
          <fgColor indexed="64"/>
          <bgColor rgb="FFFFC7CE"/>
        </patternFill>
      </fill>
    </dxf>
    <dxf>
      <font>
        <color rgb="FF006100"/>
      </font>
      <fill>
        <patternFill>
          <fgColor indexed="64"/>
          <bgColor rgb="FFC6EFCE"/>
        </patternFill>
      </fill>
    </dxf>
    <dxf>
      <font>
        <color rgb="FF9C65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9C0006"/>
      </font>
      <fill>
        <patternFill>
          <fgColor indexed="64"/>
          <bgColor rgb="FFFFC7CE"/>
        </patternFill>
      </fill>
    </dxf>
    <dxf>
      <font>
        <color rgb="FF006100"/>
      </font>
      <fill>
        <patternFill>
          <fgColor indexed="64"/>
          <bgColor rgb="FFC6EFCE"/>
        </patternFill>
      </fill>
    </dxf>
    <dxf>
      <font>
        <color rgb="FF9C6500"/>
      </font>
      <fill>
        <patternFill>
          <fgColor indexed="64"/>
          <bgColor rgb="FFFFEB9C"/>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
      <font>
        <color rgb="FF9C0006"/>
      </font>
      <fill>
        <patternFill>
          <fgColor indexed="64"/>
          <bgColor rgb="FFFFC7CE"/>
        </patternFill>
      </fill>
    </dxf>
    <dxf>
      <font>
        <color rgb="FF006100"/>
      </font>
      <fill>
        <patternFill>
          <fgColor indexed="64"/>
          <bgColor rgb="FFC6EFCE"/>
        </patternFill>
      </fill>
    </dxf>
    <dxf>
      <font>
        <color rgb="FF9C6500"/>
      </font>
      <fill>
        <patternFill>
          <fgColor indexed="64"/>
          <bgColor rgb="FFFFEB9C"/>
        </patternFill>
      </fill>
    </dxf>
  </dxfs>
  <tableStyles count="0" defaultTableStyle="TableStyleMedium2" defaultPivotStyle="PivotStyleMedium9"/>
  <colors>
    <mruColors>
      <color rgb="FFFFCCCC"/>
      <color rgb="FF86BC25"/>
      <color rgb="FFFF6600"/>
      <color rgb="FF0000FF"/>
      <color rgb="FF5B9BD5"/>
      <color rgb="FF4454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xdr:col>
      <xdr:colOff>160020</xdr:colOff>
      <xdr:row>2</xdr:row>
      <xdr:rowOff>68580</xdr:rowOff>
    </xdr:from>
    <xdr:to>
      <xdr:col>7</xdr:col>
      <xdr:colOff>601980</xdr:colOff>
      <xdr:row>3</xdr:row>
      <xdr:rowOff>0</xdr:rowOff>
    </xdr:to>
    <xdr:sp macro="" textlink="">
      <xdr:nvSpPr>
        <xdr:cNvPr id="12" name="Rounded Rectangular Callout 11">
          <a:extLst>
            <a:ext uri="{FF2B5EF4-FFF2-40B4-BE49-F238E27FC236}">
              <a16:creationId xmlns:a16="http://schemas.microsoft.com/office/drawing/2014/main" id="{00000000-0008-0000-0000-00000C000000}"/>
            </a:ext>
          </a:extLst>
        </xdr:cNvPr>
        <xdr:cNvSpPr/>
      </xdr:nvSpPr>
      <xdr:spPr>
        <a:xfrm>
          <a:off x="640080" y="68580"/>
          <a:ext cx="10965180" cy="388620"/>
        </a:xfrm>
        <a:prstGeom prst="wedgeRoundRectCallout">
          <a:avLst>
            <a:gd name="adj1" fmla="val -26299"/>
            <a:gd name="adj2" fmla="val 2743"/>
            <a:gd name="adj3" fmla="val 16667"/>
          </a:avLst>
        </a:prstGeom>
        <a:solidFill>
          <a:srgbClr val="86BC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800">
              <a:solidFill>
                <a:schemeClr val="lt1"/>
              </a:solidFill>
              <a:effectLst/>
              <a:latin typeface="+mn-lt"/>
              <a:ea typeface="+mn-ea"/>
              <a:cs typeface="+mn-cs"/>
            </a:rPr>
            <a:t>Call-Out Comment: Within the sheets, cells that are shaded in gray are calculated cells. All text in italics provides example documentation and may be updated by the engagement teams, as applicable. This and all other green call-out comments/boxes provide additional guidance and should be deleted by the engagement team prior to inclusion in the audit file.</a:t>
          </a:r>
          <a:endParaRPr lang="en-GB" sz="800">
            <a:effectLst/>
          </a:endParaRPr>
        </a:p>
      </xdr:txBody>
    </xdr:sp>
    <xdr:clientData/>
  </xdr:twoCellAnchor>
  <xdr:twoCellAnchor>
    <xdr:from>
      <xdr:col>5</xdr:col>
      <xdr:colOff>517563</xdr:colOff>
      <xdr:row>6</xdr:row>
      <xdr:rowOff>74855</xdr:rowOff>
    </xdr:from>
    <xdr:to>
      <xdr:col>7</xdr:col>
      <xdr:colOff>213891</xdr:colOff>
      <xdr:row>11</xdr:row>
      <xdr:rowOff>143510</xdr:rowOff>
    </xdr:to>
    <xdr:sp macro="" textlink="">
      <xdr:nvSpPr>
        <xdr:cNvPr id="16" name="Rounded Rectangular Callout 8">
          <a:extLst>
            <a:ext uri="{FF2B5EF4-FFF2-40B4-BE49-F238E27FC236}">
              <a16:creationId xmlns:a16="http://schemas.microsoft.com/office/drawing/2014/main" id="{C45F615D-3693-4E0E-9736-BB4F62C3A5BF}"/>
            </a:ext>
          </a:extLst>
        </xdr:cNvPr>
        <xdr:cNvSpPr/>
      </xdr:nvSpPr>
      <xdr:spPr>
        <a:xfrm>
          <a:off x="10553103" y="1095935"/>
          <a:ext cx="3011028" cy="716355"/>
        </a:xfrm>
        <a:prstGeom prst="wedgeRoundRectCallout">
          <a:avLst>
            <a:gd name="adj1" fmla="val -19690"/>
            <a:gd name="adj2" fmla="val -66782"/>
            <a:gd name="adj3" fmla="val 16667"/>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Verdana" panose="020B0604030504040204" pitchFamily="34" charset="0"/>
              <a:ea typeface="Verdana" panose="020B0604030504040204" pitchFamily="34" charset="0"/>
              <a:cs typeface="Verdana" panose="020B0604030504040204" pitchFamily="34" charset="0"/>
            </a:rPr>
            <a:t>Call-Out Comment: When using EMS, use EMS cross-referencing and/or EMS Links on</a:t>
          </a:r>
          <a:r>
            <a:rPr lang="en-US" sz="800" baseline="0">
              <a:latin typeface="Verdana" panose="020B0604030504040204" pitchFamily="34" charset="0"/>
              <a:ea typeface="Verdana" panose="020B0604030504040204" pitchFamily="34" charset="0"/>
              <a:cs typeface="Verdana" panose="020B0604030504040204" pitchFamily="34" charset="0"/>
            </a:rPr>
            <a:t> this worksheet to establish the relationship between balances, risks, procedures, etc.</a:t>
          </a:r>
          <a:endParaRPr lang="en-US" sz="800">
            <a:latin typeface="Verdana" panose="020B0604030504040204" pitchFamily="34" charset="0"/>
            <a:ea typeface="Verdana" panose="020B0604030504040204" pitchFamily="34" charset="0"/>
            <a:cs typeface="Verdana" panose="020B0604030504040204" pitchFamily="34" charset="0"/>
          </a:endParaRPr>
        </a:p>
      </xdr:txBody>
    </xdr:sp>
    <xdr:clientData/>
  </xdr:twoCellAnchor>
  <xdr:twoCellAnchor>
    <xdr:from>
      <xdr:col>7</xdr:col>
      <xdr:colOff>165729</xdr:colOff>
      <xdr:row>18</xdr:row>
      <xdr:rowOff>31326</xdr:rowOff>
    </xdr:from>
    <xdr:to>
      <xdr:col>11</xdr:col>
      <xdr:colOff>492125</xdr:colOff>
      <xdr:row>21</xdr:row>
      <xdr:rowOff>31750</xdr:rowOff>
    </xdr:to>
    <xdr:sp macro="" textlink="">
      <xdr:nvSpPr>
        <xdr:cNvPr id="23" name="Rounded Rectangular Callout 4">
          <a:extLst>
            <a:ext uri="{FF2B5EF4-FFF2-40B4-BE49-F238E27FC236}">
              <a16:creationId xmlns:a16="http://schemas.microsoft.com/office/drawing/2014/main" id="{FE4A7959-2248-4EE8-94F3-9533E9DFB3CD}"/>
            </a:ext>
          </a:extLst>
        </xdr:cNvPr>
        <xdr:cNvSpPr/>
      </xdr:nvSpPr>
      <xdr:spPr>
        <a:xfrm>
          <a:off x="13802354" y="3206326"/>
          <a:ext cx="3501396" cy="1881612"/>
        </a:xfrm>
        <a:prstGeom prst="wedgeRoundRectCallout">
          <a:avLst>
            <a:gd name="adj1" fmla="val -55237"/>
            <a:gd name="adj2" fmla="val 17189"/>
            <a:gd name="adj3" fmla="val 16667"/>
          </a:avLst>
        </a:prstGeom>
        <a:solidFill>
          <a:srgbClr val="86BC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800" b="0">
              <a:solidFill>
                <a:schemeClr val="bg1"/>
              </a:solidFill>
              <a:effectLst/>
              <a:latin typeface="+mn-lt"/>
              <a:ea typeface="+mn-ea"/>
              <a:cs typeface="+mn-cs"/>
            </a:rPr>
            <a:t>Call-Out Comment: When</a:t>
          </a:r>
          <a:r>
            <a:rPr lang="en-US" sz="800" b="0" baseline="0">
              <a:solidFill>
                <a:schemeClr val="bg1"/>
              </a:solidFill>
              <a:effectLst/>
              <a:latin typeface="+mn-lt"/>
              <a:ea typeface="+mn-ea"/>
              <a:cs typeface="+mn-cs"/>
            </a:rPr>
            <a:t> inserting links from EMS, the heading is also inserted. Engagement teams to insert links one row above the actual procedures so that links in the workbook function correctly. Each time EMS dynamic links are inserted, headings will also be inserted. Engagement teams are advised to insert all relevant risks and procedures together. </a:t>
          </a:r>
        </a:p>
        <a:p>
          <a:endParaRPr lang="en-US" sz="800">
            <a:solidFill>
              <a:schemeClr val="bg1"/>
            </a:solidFill>
            <a:effectLst/>
          </a:endParaRPr>
        </a:p>
        <a:p>
          <a:r>
            <a:rPr lang="en-US" sz="800" b="0" baseline="0">
              <a:solidFill>
                <a:schemeClr val="bg1"/>
              </a:solidFill>
              <a:effectLst/>
              <a:latin typeface="+mn-lt"/>
              <a:ea typeface="+mn-ea"/>
              <a:cs typeface="+mn-cs"/>
            </a:rPr>
            <a:t>Also, teams to enter the relevant assertions manually. Engagement teams to validate and update for any changes that were made before importing into EMS.</a:t>
          </a:r>
          <a:endParaRPr lang="en-US" sz="800">
            <a:solidFill>
              <a:schemeClr val="bg1"/>
            </a:solidFill>
            <a:effectLst/>
          </a:endParaRPr>
        </a:p>
      </xdr:txBody>
    </xdr:sp>
    <xdr:clientData/>
  </xdr:twoCellAnchor>
  <xdr:twoCellAnchor>
    <xdr:from>
      <xdr:col>4</xdr:col>
      <xdr:colOff>111077</xdr:colOff>
      <xdr:row>24</xdr:row>
      <xdr:rowOff>35365</xdr:rowOff>
    </xdr:from>
    <xdr:to>
      <xdr:col>6</xdr:col>
      <xdr:colOff>900175</xdr:colOff>
      <xdr:row>27</xdr:row>
      <xdr:rowOff>68581</xdr:rowOff>
    </xdr:to>
    <xdr:sp macro="" textlink="">
      <xdr:nvSpPr>
        <xdr:cNvPr id="10" name="Rounded Rectangular Callout 4">
          <a:extLst>
            <a:ext uri="{FF2B5EF4-FFF2-40B4-BE49-F238E27FC236}">
              <a16:creationId xmlns:a16="http://schemas.microsoft.com/office/drawing/2014/main" id="{667CF1DD-E689-4989-BE1A-E09202C61935}"/>
            </a:ext>
          </a:extLst>
        </xdr:cNvPr>
        <xdr:cNvSpPr/>
      </xdr:nvSpPr>
      <xdr:spPr>
        <a:xfrm>
          <a:off x="5734637" y="7160065"/>
          <a:ext cx="6968918" cy="421836"/>
        </a:xfrm>
        <a:prstGeom prst="wedgeRoundRectCallout">
          <a:avLst>
            <a:gd name="adj1" fmla="val 25732"/>
            <a:gd name="adj2" fmla="val -93606"/>
            <a:gd name="adj3" fmla="val 16667"/>
          </a:avLst>
        </a:prstGeom>
        <a:solidFill>
          <a:srgbClr val="86BC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800" b="0">
              <a:latin typeface="Verdana" panose="020B0604030504040204" pitchFamily="34" charset="0"/>
              <a:ea typeface="Verdana" panose="020B0604030504040204" pitchFamily="34" charset="0"/>
              <a:cs typeface="Verdana" panose="020B0604030504040204" pitchFamily="34" charset="0"/>
            </a:rPr>
            <a:t>Call-Out Comment</a:t>
          </a:r>
          <a:r>
            <a:rPr lang="en-US" sz="800" b="0" baseline="0">
              <a:solidFill>
                <a:schemeClr val="lt1"/>
              </a:solidFill>
              <a:latin typeface="Verdana" panose="020B0604030504040204" pitchFamily="34" charset="0"/>
              <a:ea typeface="Verdana" panose="020B0604030504040204" pitchFamily="34" charset="0"/>
              <a:cs typeface="Verdana" panose="020B0604030504040204" pitchFamily="34" charset="0"/>
            </a:rPr>
            <a:t>: </a:t>
          </a:r>
          <a:r>
            <a:rPr lang="en-US" sz="800" b="0">
              <a:solidFill>
                <a:schemeClr val="lt1"/>
              </a:solidFill>
              <a:latin typeface="Verdana" panose="020B0604030504040204" pitchFamily="34" charset="0"/>
              <a:ea typeface="Verdana" panose="020B0604030504040204" pitchFamily="34" charset="0"/>
              <a:cs typeface="Verdana" panose="020B0604030504040204" pitchFamily="34" charset="0"/>
            </a:rPr>
            <a:t>Engagement teams have the option of inserting Dynamic EMS Link for Control Reliance, or manually inputting the control reliance as "Relying on Controls" or "Not Relying on Controls" in the form. </a:t>
          </a:r>
        </a:p>
        <a:p>
          <a:r>
            <a:rPr lang="en-US" sz="1100">
              <a:solidFill>
                <a:schemeClr val="lt1"/>
              </a:solidFill>
              <a:effectLst/>
              <a:latin typeface="+mn-lt"/>
              <a:ea typeface="+mn-ea"/>
              <a:cs typeface="+mn-cs"/>
            </a:rPr>
            <a:t> </a:t>
          </a:r>
          <a:endParaRPr lang="en-US" sz="800">
            <a:effectLst/>
          </a:endParaRPr>
        </a:p>
        <a:p>
          <a:r>
            <a:rPr lang="en-US" sz="800" b="0">
              <a:solidFill>
                <a:schemeClr val="lt1"/>
              </a:solidFill>
              <a:latin typeface="Verdana" panose="020B0604030504040204" pitchFamily="34" charset="0"/>
              <a:ea typeface="Verdana" panose="020B0604030504040204" pitchFamily="34" charset="0"/>
              <a:cs typeface="Verdana" panose="020B0604030504040204" pitchFamily="34" charset="0"/>
            </a:rPr>
            <a:t> </a:t>
          </a:r>
        </a:p>
      </xdr:txBody>
    </xdr:sp>
    <xdr:clientData/>
  </xdr:twoCellAnchor>
  <xdr:twoCellAnchor>
    <xdr:from>
      <xdr:col>1</xdr:col>
      <xdr:colOff>15240</xdr:colOff>
      <xdr:row>25</xdr:row>
      <xdr:rowOff>0</xdr:rowOff>
    </xdr:from>
    <xdr:to>
      <xdr:col>3</xdr:col>
      <xdr:colOff>1921510</xdr:colOff>
      <xdr:row>28</xdr:row>
      <xdr:rowOff>27498</xdr:rowOff>
    </xdr:to>
    <xdr:sp macro="" textlink="">
      <xdr:nvSpPr>
        <xdr:cNvPr id="8" name="Rounded Rectangular Callout 3">
          <a:extLst>
            <a:ext uri="{FF2B5EF4-FFF2-40B4-BE49-F238E27FC236}">
              <a16:creationId xmlns:a16="http://schemas.microsoft.com/office/drawing/2014/main" id="{C48BC111-4F67-455E-981D-F9AFF93833D4}"/>
            </a:ext>
            <a:ext uri="{147F2762-F138-4A5C-976F-8EAC2B608ADB}">
              <a16:predDERef xmlns:a16="http://schemas.microsoft.com/office/drawing/2014/main" pred="{00000000-0008-0000-0000-000014000000}"/>
            </a:ext>
          </a:extLst>
        </xdr:cNvPr>
        <xdr:cNvSpPr/>
      </xdr:nvSpPr>
      <xdr:spPr>
        <a:xfrm>
          <a:off x="220980" y="10614660"/>
          <a:ext cx="5213350" cy="416118"/>
        </a:xfrm>
        <a:prstGeom prst="wedgeRoundRectCallout">
          <a:avLst>
            <a:gd name="adj1" fmla="val -20361"/>
            <a:gd name="adj2" fmla="val -102004"/>
            <a:gd name="adj3" fmla="val 16667"/>
          </a:avLst>
        </a:prstGeom>
        <a:solidFill>
          <a:srgbClr val="86BC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0">
              <a:latin typeface="Verdana" panose="020B0604030504040204" pitchFamily="34" charset="0"/>
              <a:ea typeface="Verdana" panose="020B0604030504040204" pitchFamily="34" charset="0"/>
              <a:cs typeface="Verdana" panose="020B0604030504040204" pitchFamily="34" charset="0"/>
            </a:rPr>
            <a:t>Call-Out Comment: Engagement team to delete</a:t>
          </a:r>
          <a:r>
            <a:rPr lang="en-US" sz="800" b="0" baseline="0">
              <a:latin typeface="Verdana" panose="020B0604030504040204" pitchFamily="34" charset="0"/>
              <a:ea typeface="Verdana" panose="020B0604030504040204" pitchFamily="34" charset="0"/>
              <a:cs typeface="Verdana" panose="020B0604030504040204" pitchFamily="34" charset="0"/>
            </a:rPr>
            <a:t> testing rows and respective tabs for any assertions for which there is no reasonable risk of material misstatement.</a:t>
          </a:r>
        </a:p>
        <a:p>
          <a:pPr algn="l"/>
          <a:endParaRPr lang="en-US" sz="800" b="1">
            <a:latin typeface="Verdana" panose="020B0604030504040204" pitchFamily="34" charset="0"/>
            <a:ea typeface="Verdana" panose="020B0604030504040204" pitchFamily="34" charset="0"/>
            <a:cs typeface="Verdana" panose="020B060403050404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608718</xdr:colOff>
      <xdr:row>10</xdr:row>
      <xdr:rowOff>46676</xdr:rowOff>
    </xdr:from>
    <xdr:to>
      <xdr:col>13</xdr:col>
      <xdr:colOff>757238</xdr:colOff>
      <xdr:row>27</xdr:row>
      <xdr:rowOff>66675</xdr:rowOff>
    </xdr:to>
    <xdr:sp macro="" textlink="">
      <xdr:nvSpPr>
        <xdr:cNvPr id="4" name="Rounded Rectangular Callout 2">
          <a:extLst>
            <a:ext uri="{FF2B5EF4-FFF2-40B4-BE49-F238E27FC236}">
              <a16:creationId xmlns:a16="http://schemas.microsoft.com/office/drawing/2014/main" id="{203A06C8-77F7-4EEE-BD26-6A272C2B0697}"/>
            </a:ext>
          </a:extLst>
        </xdr:cNvPr>
        <xdr:cNvSpPr/>
      </xdr:nvSpPr>
      <xdr:spPr>
        <a:xfrm>
          <a:off x="8600193" y="1484951"/>
          <a:ext cx="4891970" cy="2172649"/>
        </a:xfrm>
        <a:prstGeom prst="wedgeRoundRectCallout">
          <a:avLst>
            <a:gd name="adj1" fmla="val -70184"/>
            <a:gd name="adj2" fmla="val -17795"/>
            <a:gd name="adj3" fmla="val 16667"/>
          </a:avLst>
        </a:prstGeom>
        <a:solidFill>
          <a:srgbClr val="86BC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eaLnBrk="1" fontAlgn="auto" latinLnBrk="0" hangingPunct="1"/>
          <a:r>
            <a:rPr lang="en-US" sz="800">
              <a:solidFill>
                <a:schemeClr val="lt1"/>
              </a:solidFill>
              <a:effectLst/>
              <a:latin typeface="+mn-lt"/>
              <a:ea typeface="+mn-ea"/>
              <a:cs typeface="+mn-cs"/>
            </a:rPr>
            <a:t>Call-Out Comment: </a:t>
          </a:r>
          <a:r>
            <a:rPr lang="en-US" sz="800" b="0" baseline="0">
              <a:solidFill>
                <a:schemeClr val="lt1"/>
              </a:solidFill>
              <a:effectLst/>
              <a:latin typeface="+mn-lt"/>
              <a:ea typeface="+mn-ea"/>
              <a:cs typeface="+mn-cs"/>
            </a:rPr>
            <a:t>When we are not able to develop an expectation that will be sufficiently precise to address the risk of material misstatement, it may be beneficial to disaggregate the population to obtain more precise expectations. It is important that expectations are developed at the appropriate level of disaggregation. A disaggregated part is a portion of a population, subject to examination, for which we determine we can develop a sufficiently precise expectation that is likely to identify a material misstatement. There are various ways a population can be disaggregated (e.g., by payroll type or location) into amounts comprising transactions with distinct characteristics or a combination of the above</a:t>
          </a:r>
          <a:r>
            <a:rPr lang="en-GB" sz="800" b="0" baseline="0">
              <a:solidFill>
                <a:schemeClr val="lt1"/>
              </a:solidFill>
              <a:effectLst/>
              <a:latin typeface="+mn-lt"/>
              <a:ea typeface="+mn-ea"/>
              <a:cs typeface="+mn-cs"/>
            </a:rPr>
            <a:t>. Engagement teams document their decisions on disaggregation in the "SAP Considerations - Planning" box on Tab 2.</a:t>
          </a:r>
        </a:p>
        <a:p>
          <a:pPr eaLnBrk="1" fontAlgn="auto" latinLnBrk="0" hangingPunct="1"/>
          <a:endParaRPr lang="en-US" sz="800">
            <a:effectLst/>
          </a:endParaRPr>
        </a:p>
        <a:p>
          <a:r>
            <a:rPr lang="en-US" sz="800" baseline="0">
              <a:solidFill>
                <a:schemeClr val="lt1"/>
              </a:solidFill>
              <a:effectLst/>
              <a:latin typeface="+mn-lt"/>
              <a:ea typeface="+mn-ea"/>
              <a:cs typeface="+mn-cs"/>
            </a:rPr>
            <a:t>Engagement team to input the relevant general ledger accounts to be tested via substantive analytical procedures from the leadsheet. </a:t>
          </a:r>
          <a:endParaRPr lang="en-US" sz="800">
            <a:effectLst/>
          </a:endParaRPr>
        </a:p>
        <a:p>
          <a:pPr algn="l"/>
          <a:endParaRPr lang="en-US" sz="800" b="1" strike="sngStrike" baseline="0">
            <a:latin typeface="Verdana" panose="020B0604030504040204" pitchFamily="34" charset="0"/>
            <a:ea typeface="Verdana" panose="020B0604030504040204" pitchFamily="34" charset="0"/>
            <a:cs typeface="Verdana" panose="020B060403050404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167640</xdr:colOff>
      <xdr:row>36</xdr:row>
      <xdr:rowOff>114300</xdr:rowOff>
    </xdr:from>
    <xdr:to>
      <xdr:col>5</xdr:col>
      <xdr:colOff>167640</xdr:colOff>
      <xdr:row>47</xdr:row>
      <xdr:rowOff>0</xdr:rowOff>
    </xdr:to>
    <xdr:sp macro="" textlink="">
      <xdr:nvSpPr>
        <xdr:cNvPr id="2" name="Rounded Rectangular Callout 4">
          <a:extLst>
            <a:ext uri="{FF2B5EF4-FFF2-40B4-BE49-F238E27FC236}">
              <a16:creationId xmlns:a16="http://schemas.microsoft.com/office/drawing/2014/main" id="{C6DE286E-8D1D-4648-95B9-C916A305C41D}"/>
            </a:ext>
          </a:extLst>
        </xdr:cNvPr>
        <xdr:cNvSpPr/>
      </xdr:nvSpPr>
      <xdr:spPr>
        <a:xfrm>
          <a:off x="167640" y="6472238"/>
          <a:ext cx="4595813" cy="1247775"/>
        </a:xfrm>
        <a:prstGeom prst="wedgeRoundRectCallout">
          <a:avLst>
            <a:gd name="adj1" fmla="val -36563"/>
            <a:gd name="adj2" fmla="val -79934"/>
            <a:gd name="adj3" fmla="val 16667"/>
          </a:avLst>
        </a:prstGeom>
        <a:solidFill>
          <a:srgbClr val="86BC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eaLnBrk="1" fontAlgn="auto" latinLnBrk="0" hangingPunct="1"/>
          <a:r>
            <a:rPr lang="en-US" sz="800" b="0">
              <a:solidFill>
                <a:schemeClr val="lt1"/>
              </a:solidFill>
              <a:effectLst/>
              <a:latin typeface="+mn-lt"/>
              <a:ea typeface="+mn-ea"/>
              <a:cs typeface="+mn-cs"/>
            </a:rPr>
            <a:t>Call-Out Comment: </a:t>
          </a:r>
          <a:r>
            <a:rPr lang="en-US" sz="800" b="0" baseline="0">
              <a:solidFill>
                <a:schemeClr val="lt1"/>
              </a:solidFill>
              <a:effectLst/>
              <a:latin typeface="+mn-lt"/>
              <a:ea typeface="+mn-ea"/>
              <a:cs typeface="+mn-cs"/>
            </a:rPr>
            <a:t>A testing tab is created for each disaggregated part. If additional testing tabs are needed, they should be added by (1) copying an existing testing tab and (2) adding a row to the summary tab here and updating all formulas with the name of the new tab (e.g., 6. SAP — Disaggregated Part 4).</a:t>
          </a:r>
        </a:p>
        <a:p>
          <a:pPr eaLnBrk="1" fontAlgn="auto" latinLnBrk="0" hangingPunct="1"/>
          <a:endParaRPr lang="en-US" sz="800">
            <a:effectLst/>
          </a:endParaRPr>
        </a:p>
        <a:p>
          <a:pPr eaLnBrk="1" fontAlgn="auto" latinLnBrk="0" hangingPunct="1"/>
          <a:r>
            <a:rPr lang="en-US" sz="800" b="0" baseline="0">
              <a:solidFill>
                <a:schemeClr val="lt1"/>
              </a:solidFill>
              <a:effectLst/>
              <a:latin typeface="+mn-lt"/>
              <a:ea typeface="+mn-ea"/>
              <a:cs typeface="+mn-cs"/>
            </a:rPr>
            <a:t>If additional SAP testing worksheets are added or formatting edits are made to existing worksheets, engagement teams are to ensure that formulas are still pulling the correct information from the SAP testing worksheets.</a:t>
          </a:r>
          <a:endParaRPr lang="en-US" sz="800">
            <a:effectLst/>
          </a:endParaRPr>
        </a:p>
      </xdr:txBody>
    </xdr:sp>
    <xdr:clientData/>
  </xdr:twoCellAnchor>
  <xdr:twoCellAnchor>
    <xdr:from>
      <xdr:col>6</xdr:col>
      <xdr:colOff>1272540</xdr:colOff>
      <xdr:row>32</xdr:row>
      <xdr:rowOff>41910</xdr:rowOff>
    </xdr:from>
    <xdr:to>
      <xdr:col>13</xdr:col>
      <xdr:colOff>1158240</xdr:colOff>
      <xdr:row>37</xdr:row>
      <xdr:rowOff>19050</xdr:rowOff>
    </xdr:to>
    <xdr:sp macro="" textlink="">
      <xdr:nvSpPr>
        <xdr:cNvPr id="3" name="Rounded Rectangular Callout 4">
          <a:extLst>
            <a:ext uri="{FF2B5EF4-FFF2-40B4-BE49-F238E27FC236}">
              <a16:creationId xmlns:a16="http://schemas.microsoft.com/office/drawing/2014/main" id="{C6427C87-5381-49C0-B40D-B6F2DA019C41}"/>
            </a:ext>
          </a:extLst>
        </xdr:cNvPr>
        <xdr:cNvSpPr/>
      </xdr:nvSpPr>
      <xdr:spPr>
        <a:xfrm>
          <a:off x="7673340" y="6080760"/>
          <a:ext cx="7791450" cy="643890"/>
        </a:xfrm>
        <a:prstGeom prst="wedgeRoundRectCallout">
          <a:avLst>
            <a:gd name="adj1" fmla="val -26402"/>
            <a:gd name="adj2" fmla="val -95507"/>
            <a:gd name="adj3" fmla="val 16667"/>
          </a:avLst>
        </a:prstGeom>
        <a:solidFill>
          <a:srgbClr val="86BC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800" b="0">
              <a:solidFill>
                <a:schemeClr val="lt1"/>
              </a:solidFill>
              <a:effectLst/>
              <a:latin typeface="+mn-lt"/>
              <a:ea typeface="+mn-ea"/>
              <a:cs typeface="+mn-cs"/>
            </a:rPr>
            <a:t>Call-Out Comment</a:t>
          </a:r>
          <a:r>
            <a:rPr lang="en-US" sz="800" b="0">
              <a:solidFill>
                <a:schemeClr val="bg1"/>
              </a:solidFill>
              <a:effectLst/>
              <a:latin typeface="+mn-lt"/>
              <a:ea typeface="+mn-ea"/>
              <a:cs typeface="+mn-cs"/>
            </a:rPr>
            <a:t>: This table is provided to assist in the review process but it does not replace the need to review the detailed work performed on each of the testing worksheets. Engagement teams need to manually complete the "Disaggregated Parts for Testing," "Testing Tab," and "Population" columns. All other columns are formula driven from the SAP testing worksheets. </a:t>
          </a:r>
          <a:endParaRPr lang="en-US" sz="800" b="0" baseline="0">
            <a:solidFill>
              <a:schemeClr val="bg1"/>
            </a:solidFill>
            <a:effectLst/>
            <a:latin typeface="+mn-lt"/>
            <a:ea typeface="+mn-ea"/>
            <a:cs typeface="+mn-cs"/>
          </a:endParaRPr>
        </a:p>
      </xdr:txBody>
    </xdr:sp>
    <xdr:clientData/>
  </xdr:twoCellAnchor>
  <xdr:twoCellAnchor>
    <xdr:from>
      <xdr:col>8</xdr:col>
      <xdr:colOff>523874</xdr:colOff>
      <xdr:row>5</xdr:row>
      <xdr:rowOff>68580</xdr:rowOff>
    </xdr:from>
    <xdr:to>
      <xdr:col>14</xdr:col>
      <xdr:colOff>1188720</xdr:colOff>
      <xdr:row>18</xdr:row>
      <xdr:rowOff>47625</xdr:rowOff>
    </xdr:to>
    <xdr:sp macro="" textlink="">
      <xdr:nvSpPr>
        <xdr:cNvPr id="4" name="Rounded Rectangular Callout 5">
          <a:extLst>
            <a:ext uri="{FF2B5EF4-FFF2-40B4-BE49-F238E27FC236}">
              <a16:creationId xmlns:a16="http://schemas.microsoft.com/office/drawing/2014/main" id="{8D463A86-1242-4A7D-B866-D847A51601EF}"/>
            </a:ext>
          </a:extLst>
        </xdr:cNvPr>
        <xdr:cNvSpPr/>
      </xdr:nvSpPr>
      <xdr:spPr>
        <a:xfrm>
          <a:off x="8729662" y="687705"/>
          <a:ext cx="6746558" cy="1760220"/>
        </a:xfrm>
        <a:prstGeom prst="wedgeRoundRectCallout">
          <a:avLst>
            <a:gd name="adj1" fmla="val -58661"/>
            <a:gd name="adj2" fmla="val -5670"/>
            <a:gd name="adj3" fmla="val 16667"/>
          </a:avLst>
        </a:prstGeom>
        <a:solidFill>
          <a:srgbClr val="86BC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800" b="0">
              <a:solidFill>
                <a:schemeClr val="lt1"/>
              </a:solidFill>
              <a:effectLst/>
              <a:latin typeface="+mn-lt"/>
              <a:ea typeface="+mn-ea"/>
              <a:cs typeface="+mn-cs"/>
            </a:rPr>
            <a:t>Call-Out Comment</a:t>
          </a:r>
          <a:r>
            <a:rPr lang="en-US" sz="800" b="0">
              <a:solidFill>
                <a:schemeClr val="bg1"/>
              </a:solidFill>
              <a:effectLst/>
              <a:latin typeface="+mn-lt"/>
              <a:ea typeface="+mn-ea"/>
              <a:cs typeface="+mn-cs"/>
            </a:rPr>
            <a:t>: Engagement teams use this box to document</a:t>
          </a:r>
          <a:r>
            <a:rPr lang="en-US" sz="800" b="0" baseline="0">
              <a:solidFill>
                <a:schemeClr val="bg1"/>
              </a:solidFill>
              <a:effectLst/>
              <a:latin typeface="+mn-lt"/>
              <a:ea typeface="+mn-ea"/>
              <a:cs typeface="+mn-cs"/>
            </a:rPr>
            <a:t> the suitability of using a substantive analytical approach and to detail their conclusions on the appropriate level of disaggregation. The application of planned substantive analytical procedures is based on the expectation that relationships among data exist and continue in the absence of known conditions to the contrary. The suitability of a particular substantive analytical procedure will depend upon our assessment of how effective it will be in detecting a misstatement that, individually or when aggregated with other misstatements, may cause the financial statements to be materially misstated.</a:t>
          </a:r>
        </a:p>
        <a:p>
          <a:endParaRPr lang="en-US" sz="800" b="0" baseline="0">
            <a:solidFill>
              <a:schemeClr val="bg1"/>
            </a:solidFill>
            <a:effectLst/>
            <a:latin typeface="+mn-lt"/>
            <a:ea typeface="+mn-ea"/>
            <a:cs typeface="+mn-cs"/>
          </a:endParaRPr>
        </a:p>
        <a:p>
          <a:r>
            <a:rPr lang="en-US" sz="800" b="0" baseline="0">
              <a:solidFill>
                <a:schemeClr val="bg1"/>
              </a:solidFill>
              <a:effectLst/>
              <a:latin typeface="+mn-lt"/>
              <a:ea typeface="+mn-ea"/>
              <a:cs typeface="+mn-cs"/>
            </a:rPr>
            <a:t>When we have identified a significant risk of material misstatement, our response to the significant risk is either to perform tests of details or a combination of tests of details and substantive analytical procedures. For audits performed in accordance with the standards of the PCAOB, substantive analytical procedures alone cannot be performed in response to a significant risk of material misstatement that has been identified, irrespective of the ability to rely on the operating effectiveness of controls over that significant risk. </a:t>
          </a:r>
          <a:endParaRPr lang="en-GB" sz="800" b="0" baseline="0">
            <a:solidFill>
              <a:schemeClr val="bg1"/>
            </a:solidFill>
            <a:effectLst/>
            <a:latin typeface="+mn-lt"/>
            <a:ea typeface="+mn-ea"/>
            <a:cs typeface="+mn-cs"/>
          </a:endParaRPr>
        </a:p>
        <a:p>
          <a:pPr lvl="0"/>
          <a:endParaRPr lang="en-GB" sz="800" b="0" baseline="0">
            <a:solidFill>
              <a:schemeClr val="bg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800" b="0" baseline="0">
              <a:solidFill>
                <a:schemeClr val="bg1"/>
              </a:solidFill>
              <a:effectLst/>
              <a:latin typeface="+mn-lt"/>
              <a:ea typeface="+mn-ea"/>
              <a:cs typeface="+mn-cs"/>
            </a:rPr>
            <a:t> </a:t>
          </a:r>
        </a:p>
      </xdr:txBody>
    </xdr:sp>
    <xdr:clientData/>
  </xdr:twoCellAnchor>
  <xdr:twoCellAnchor>
    <xdr:from>
      <xdr:col>8</xdr:col>
      <xdr:colOff>561975</xdr:colOff>
      <xdr:row>18</xdr:row>
      <xdr:rowOff>91440</xdr:rowOff>
    </xdr:from>
    <xdr:to>
      <xdr:col>14</xdr:col>
      <xdr:colOff>1209676</xdr:colOff>
      <xdr:row>21</xdr:row>
      <xdr:rowOff>213360</xdr:rowOff>
    </xdr:to>
    <xdr:sp macro="" textlink="">
      <xdr:nvSpPr>
        <xdr:cNvPr id="5" name="Rounded Rectangular Callout 4">
          <a:extLst>
            <a:ext uri="{FF2B5EF4-FFF2-40B4-BE49-F238E27FC236}">
              <a16:creationId xmlns:a16="http://schemas.microsoft.com/office/drawing/2014/main" id="{B5CFFC6A-64FD-431B-BE10-4CB316BBE5FD}"/>
            </a:ext>
          </a:extLst>
        </xdr:cNvPr>
        <xdr:cNvSpPr/>
      </xdr:nvSpPr>
      <xdr:spPr>
        <a:xfrm>
          <a:off x="8593455" y="2567940"/>
          <a:ext cx="6408421" cy="830580"/>
        </a:xfrm>
        <a:prstGeom prst="wedgeRoundRectCallout">
          <a:avLst>
            <a:gd name="adj1" fmla="val -60109"/>
            <a:gd name="adj2" fmla="val -16130"/>
            <a:gd name="adj3" fmla="val 16667"/>
          </a:avLst>
        </a:prstGeom>
        <a:solidFill>
          <a:srgbClr val="86BC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800" b="0">
              <a:solidFill>
                <a:schemeClr val="lt1"/>
              </a:solidFill>
              <a:effectLst/>
              <a:latin typeface="+mn-lt"/>
              <a:ea typeface="+mn-ea"/>
              <a:cs typeface="+mn-cs"/>
            </a:rPr>
            <a:t>Call-Out Comment</a:t>
          </a:r>
          <a:r>
            <a:rPr lang="en-US" sz="800" b="0" baseline="0">
              <a:solidFill>
                <a:schemeClr val="bg1"/>
              </a:solidFill>
              <a:effectLst/>
              <a:latin typeface="+mn-lt"/>
              <a:ea typeface="+mn-ea"/>
              <a:cs typeface="+mn-cs"/>
            </a:rPr>
            <a:t>: Engagement teams use this box to provide a summary of any remaining differences and their impact and conclude on any misstatements, confirming that they have been appropriately recorded in the engagement file. If the substantive analytical procedures have been performed at disaggregated levels, we also need to consider aggregation risk (i.e., individual misstatements may exist that when combined with misstatements in other disaggregated parts could result in a material misstatement in the aggregate).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205740</xdr:colOff>
      <xdr:row>26</xdr:row>
      <xdr:rowOff>60960</xdr:rowOff>
    </xdr:from>
    <xdr:to>
      <xdr:col>6</xdr:col>
      <xdr:colOff>1851660</xdr:colOff>
      <xdr:row>29</xdr:row>
      <xdr:rowOff>60961</xdr:rowOff>
    </xdr:to>
    <xdr:sp macro="" textlink="">
      <xdr:nvSpPr>
        <xdr:cNvPr id="2" name="Rounded Rectangular Callout 3">
          <a:extLst>
            <a:ext uri="{FF2B5EF4-FFF2-40B4-BE49-F238E27FC236}">
              <a16:creationId xmlns:a16="http://schemas.microsoft.com/office/drawing/2014/main" id="{9C0F3D34-948F-4EB0-AE51-CCEF4914069E}"/>
            </a:ext>
          </a:extLst>
        </xdr:cNvPr>
        <xdr:cNvSpPr/>
      </xdr:nvSpPr>
      <xdr:spPr>
        <a:xfrm>
          <a:off x="4693920" y="3299460"/>
          <a:ext cx="3802380" cy="396241"/>
        </a:xfrm>
        <a:prstGeom prst="wedgeRoundRectCallout">
          <a:avLst>
            <a:gd name="adj1" fmla="val -52911"/>
            <a:gd name="adj2" fmla="val 31473"/>
            <a:gd name="adj3" fmla="val 16667"/>
          </a:avLst>
        </a:prstGeom>
        <a:solidFill>
          <a:srgbClr val="86BC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0">
              <a:latin typeface="Verdana" panose="020B0604030504040204" pitchFamily="34" charset="0"/>
              <a:ea typeface="Verdana" panose="020B0604030504040204" pitchFamily="34" charset="0"/>
              <a:cs typeface="Verdana" panose="020B0604030504040204" pitchFamily="34" charset="0"/>
            </a:rPr>
            <a:t>Call-Out Comment:</a:t>
          </a:r>
          <a:r>
            <a:rPr lang="en-US" sz="800" b="0" baseline="0">
              <a:latin typeface="Verdana" panose="020B0604030504040204" pitchFamily="34" charset="0"/>
              <a:ea typeface="Verdana" panose="020B0604030504040204" pitchFamily="34" charset="0"/>
              <a:cs typeface="Verdana" panose="020B0604030504040204" pitchFamily="34" charset="0"/>
            </a:rPr>
            <a:t> </a:t>
          </a:r>
          <a:r>
            <a:rPr lang="en-US" sz="800" b="0">
              <a:latin typeface="Verdana" panose="020B0604030504040204" pitchFamily="34" charset="0"/>
              <a:ea typeface="Verdana" panose="020B0604030504040204" pitchFamily="34" charset="0"/>
              <a:cs typeface="Verdana" panose="020B0604030504040204" pitchFamily="34" charset="0"/>
            </a:rPr>
            <a:t>Engagement</a:t>
          </a:r>
          <a:r>
            <a:rPr lang="en-US" sz="800" b="0" baseline="0">
              <a:latin typeface="Verdana" panose="020B0604030504040204" pitchFamily="34" charset="0"/>
              <a:ea typeface="Verdana" panose="020B0604030504040204" pitchFamily="34" charset="0"/>
              <a:cs typeface="Verdana" panose="020B0604030504040204" pitchFamily="34" charset="0"/>
            </a:rPr>
            <a:t> teams to tailor the formula/column set up based on unique engagement circumstances.</a:t>
          </a:r>
          <a:endParaRPr lang="en-US" sz="800" b="0">
            <a:latin typeface="Verdana" panose="020B0604030504040204" pitchFamily="34" charset="0"/>
            <a:ea typeface="Verdana" panose="020B0604030504040204" pitchFamily="34" charset="0"/>
            <a:cs typeface="Verdana" panose="020B0604030504040204" pitchFamily="34" charset="0"/>
          </a:endParaRPr>
        </a:p>
      </xdr:txBody>
    </xdr:sp>
    <xdr:clientData/>
  </xdr:twoCellAnchor>
  <xdr:twoCellAnchor>
    <xdr:from>
      <xdr:col>5</xdr:col>
      <xdr:colOff>243840</xdr:colOff>
      <xdr:row>34</xdr:row>
      <xdr:rowOff>7620</xdr:rowOff>
    </xdr:from>
    <xdr:to>
      <xdr:col>8</xdr:col>
      <xdr:colOff>617220</xdr:colOff>
      <xdr:row>39</xdr:row>
      <xdr:rowOff>30480</xdr:rowOff>
    </xdr:to>
    <xdr:sp macro="" textlink="">
      <xdr:nvSpPr>
        <xdr:cNvPr id="3" name="Rounded Rectangular Callout 15">
          <a:extLst>
            <a:ext uri="{FF2B5EF4-FFF2-40B4-BE49-F238E27FC236}">
              <a16:creationId xmlns:a16="http://schemas.microsoft.com/office/drawing/2014/main" id="{1FE2180C-4601-4188-9FD6-05716761A7EF}"/>
            </a:ext>
          </a:extLst>
        </xdr:cNvPr>
        <xdr:cNvSpPr/>
      </xdr:nvSpPr>
      <xdr:spPr>
        <a:xfrm>
          <a:off x="4732020" y="4290060"/>
          <a:ext cx="5783580" cy="670560"/>
        </a:xfrm>
        <a:prstGeom prst="wedgeRoundRectCallout">
          <a:avLst>
            <a:gd name="adj1" fmla="val -54649"/>
            <a:gd name="adj2" fmla="val -7095"/>
            <a:gd name="adj3" fmla="val 16667"/>
          </a:avLst>
        </a:prstGeom>
        <a:solidFill>
          <a:srgbClr val="86BC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800" b="0">
              <a:latin typeface="Verdana" panose="020B0604030504040204" pitchFamily="34" charset="0"/>
              <a:ea typeface="Verdana" panose="020B0604030504040204" pitchFamily="34" charset="0"/>
              <a:cs typeface="Verdana" panose="020B0604030504040204" pitchFamily="34" charset="0"/>
            </a:rPr>
            <a:t>Call-Out Comme</a:t>
          </a:r>
          <a:r>
            <a:rPr lang="en-US" sz="800" b="0" baseline="0">
              <a:solidFill>
                <a:schemeClr val="lt1"/>
              </a:solidFill>
              <a:effectLst/>
              <a:latin typeface="Verdana" panose="020B0604030504040204" pitchFamily="34" charset="0"/>
              <a:ea typeface="Verdana" panose="020B0604030504040204" pitchFamily="34" charset="0"/>
              <a:cs typeface="Verdana" panose="020B0604030504040204" pitchFamily="34" charset="0"/>
            </a:rPr>
            <a:t>nt: The Threshold Calculator review note is automatically created when the Excel Analytic Threshold Calculator tool is used. As a preparer, cut and paste the information from the review note into the Threshold Calculation Log box  [for purposes of this example we have done this already]. As a reviewer, delete the review note after validating the inputs.</a:t>
          </a:r>
          <a:endParaRPr lang="en-US" sz="800" b="0">
            <a:effectLst/>
            <a:latin typeface="Verdana" panose="020B0604030504040204" pitchFamily="34" charset="0"/>
            <a:ea typeface="Verdana" panose="020B0604030504040204" pitchFamily="34" charset="0"/>
            <a:cs typeface="Verdana" panose="020B0604030504040204" pitchFamily="34" charset="0"/>
          </a:endParaRPr>
        </a:p>
      </xdr:txBody>
    </xdr:sp>
    <xdr:clientData/>
  </xdr:twoCellAnchor>
  <xdr:twoCellAnchor>
    <xdr:from>
      <xdr:col>5</xdr:col>
      <xdr:colOff>685016</xdr:colOff>
      <xdr:row>18</xdr:row>
      <xdr:rowOff>17594</xdr:rowOff>
    </xdr:from>
    <xdr:to>
      <xdr:col>6</xdr:col>
      <xdr:colOff>2075442</xdr:colOff>
      <xdr:row>23</xdr:row>
      <xdr:rowOff>28576</xdr:rowOff>
    </xdr:to>
    <xdr:sp macro="" textlink="">
      <xdr:nvSpPr>
        <xdr:cNvPr id="4" name="Rounded Rectangular Callout 3">
          <a:extLst>
            <a:ext uri="{FF2B5EF4-FFF2-40B4-BE49-F238E27FC236}">
              <a16:creationId xmlns:a16="http://schemas.microsoft.com/office/drawing/2014/main" id="{2A3F74D2-F5A3-4648-9841-165D45129670}"/>
            </a:ext>
          </a:extLst>
        </xdr:cNvPr>
        <xdr:cNvSpPr/>
      </xdr:nvSpPr>
      <xdr:spPr>
        <a:xfrm>
          <a:off x="5780891" y="2417894"/>
          <a:ext cx="3838351" cy="858707"/>
        </a:xfrm>
        <a:prstGeom prst="wedgeRoundRectCallout">
          <a:avLst>
            <a:gd name="adj1" fmla="val -9076"/>
            <a:gd name="adj2" fmla="val 47868"/>
            <a:gd name="adj3" fmla="val 16667"/>
          </a:avLst>
        </a:prstGeom>
        <a:solidFill>
          <a:srgbClr val="86BC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0">
              <a:latin typeface="Verdana" panose="020B0604030504040204" pitchFamily="34" charset="0"/>
              <a:ea typeface="Verdana" panose="020B0604030504040204" pitchFamily="34" charset="0"/>
              <a:cs typeface="Verdana" panose="020B0604030504040204" pitchFamily="34" charset="0"/>
            </a:rPr>
            <a:t>Call-Out Comment:</a:t>
          </a:r>
          <a:r>
            <a:rPr lang="en-US" sz="800" b="0" baseline="0">
              <a:latin typeface="Verdana" panose="020B0604030504040204" pitchFamily="34" charset="0"/>
              <a:ea typeface="Verdana" panose="020B0604030504040204" pitchFamily="34" charset="0"/>
              <a:cs typeface="Verdana" panose="020B0604030504040204" pitchFamily="34" charset="0"/>
            </a:rPr>
            <a:t> The engagement team uses the "7. Appendix for Expectation" tab to perform supporting calculations for inputs into their expectation when those calculations are complex. The team includes the results of the calculations for each input in the value column. </a:t>
          </a:r>
          <a:endParaRPr lang="en-US" sz="800" b="0">
            <a:latin typeface="Verdana" panose="020B0604030504040204" pitchFamily="34" charset="0"/>
            <a:ea typeface="Verdana" panose="020B0604030504040204" pitchFamily="34" charset="0"/>
            <a:cs typeface="Verdana" panose="020B0604030504040204" pitchFamily="34" charset="0"/>
          </a:endParaRPr>
        </a:p>
      </xdr:txBody>
    </xdr:sp>
    <xdr:clientData/>
  </xdr:twoCellAnchor>
  <xdr:twoCellAnchor>
    <xdr:from>
      <xdr:col>7</xdr:col>
      <xdr:colOff>363855</xdr:colOff>
      <xdr:row>57</xdr:row>
      <xdr:rowOff>121920</xdr:rowOff>
    </xdr:from>
    <xdr:to>
      <xdr:col>10</xdr:col>
      <xdr:colOff>1228725</xdr:colOff>
      <xdr:row>68</xdr:row>
      <xdr:rowOff>22860</xdr:rowOff>
    </xdr:to>
    <xdr:sp macro="" textlink="">
      <xdr:nvSpPr>
        <xdr:cNvPr id="5" name="Rounded Rectangular Callout 8">
          <a:extLst>
            <a:ext uri="{FF2B5EF4-FFF2-40B4-BE49-F238E27FC236}">
              <a16:creationId xmlns:a16="http://schemas.microsoft.com/office/drawing/2014/main" id="{80EA4052-95D8-4D46-8784-0A2640F7E96A}"/>
            </a:ext>
          </a:extLst>
        </xdr:cNvPr>
        <xdr:cNvSpPr/>
      </xdr:nvSpPr>
      <xdr:spPr>
        <a:xfrm>
          <a:off x="9865995" y="7650480"/>
          <a:ext cx="3882390" cy="1325880"/>
        </a:xfrm>
        <a:prstGeom prst="wedgeRoundRectCallout">
          <a:avLst>
            <a:gd name="adj1" fmla="val -59284"/>
            <a:gd name="adj2" fmla="val -36028"/>
            <a:gd name="adj3" fmla="val 16667"/>
          </a:avLst>
        </a:prstGeom>
        <a:solidFill>
          <a:srgbClr val="86BC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0">
              <a:solidFill>
                <a:schemeClr val="bg1"/>
              </a:solidFill>
              <a:latin typeface="Verdana" panose="020B0604030504040204" pitchFamily="34" charset="0"/>
              <a:ea typeface="Verdana" panose="020B0604030504040204" pitchFamily="34" charset="0"/>
              <a:cs typeface="Verdana" panose="020B0604030504040204" pitchFamily="34" charset="0"/>
            </a:rPr>
            <a:t>Call-Out Comment:</a:t>
          </a:r>
          <a:r>
            <a:rPr lang="en-US" sz="800" b="0" baseline="0">
              <a:solidFill>
                <a:schemeClr val="bg1"/>
              </a:solidFill>
              <a:latin typeface="Verdana" panose="020B0604030504040204" pitchFamily="34" charset="0"/>
              <a:ea typeface="Verdana" panose="020B0604030504040204" pitchFamily="34" charset="0"/>
              <a:cs typeface="Verdana" panose="020B0604030504040204" pitchFamily="34" charset="0"/>
            </a:rPr>
            <a:t> It is important that explanations for differences exceeding the threshold are initially sought for the full amount of a difference, not just that part that exceeds the threshold. Investigating differences exceeding threshold may include obtaining, quantifying, and corroborating explanations for the differences identified. The type of corroboration may vary based on the nature of the explanation; the nature of the class of transaction, account balance, or disclosure; and the results of our substantive procedures. </a:t>
          </a:r>
          <a:endParaRPr lang="en-US" sz="800" b="0">
            <a:solidFill>
              <a:schemeClr val="bg1"/>
            </a:solidFill>
            <a:latin typeface="Verdana" panose="020B0604030504040204" pitchFamily="34" charset="0"/>
            <a:ea typeface="Verdana" panose="020B0604030504040204" pitchFamily="34" charset="0"/>
            <a:cs typeface="Verdana" panose="020B0604030504040204" pitchFamily="34" charset="0"/>
          </a:endParaRPr>
        </a:p>
      </xdr:txBody>
    </xdr:sp>
    <xdr:clientData/>
  </xdr:twoCellAnchor>
  <xdr:twoCellAnchor>
    <xdr:from>
      <xdr:col>5</xdr:col>
      <xdr:colOff>1019175</xdr:colOff>
      <xdr:row>9</xdr:row>
      <xdr:rowOff>7620</xdr:rowOff>
    </xdr:from>
    <xdr:to>
      <xdr:col>7</xdr:col>
      <xdr:colOff>68580</xdr:colOff>
      <xdr:row>15</xdr:row>
      <xdr:rowOff>38100</xdr:rowOff>
    </xdr:to>
    <xdr:sp macro="" textlink="">
      <xdr:nvSpPr>
        <xdr:cNvPr id="6" name="Rounded Rectangular Callout 3">
          <a:extLst>
            <a:ext uri="{FF2B5EF4-FFF2-40B4-BE49-F238E27FC236}">
              <a16:creationId xmlns:a16="http://schemas.microsoft.com/office/drawing/2014/main" id="{0E3CFA1F-8215-4576-9861-3CAA6E172D9F}"/>
            </a:ext>
          </a:extLst>
        </xdr:cNvPr>
        <xdr:cNvSpPr/>
      </xdr:nvSpPr>
      <xdr:spPr>
        <a:xfrm>
          <a:off x="5507355" y="1173480"/>
          <a:ext cx="4063365" cy="807720"/>
        </a:xfrm>
        <a:prstGeom prst="wedgeRoundRectCallout">
          <a:avLst>
            <a:gd name="adj1" fmla="val -4644"/>
            <a:gd name="adj2" fmla="val 60802"/>
            <a:gd name="adj3" fmla="val 16667"/>
          </a:avLst>
        </a:prstGeom>
        <a:solidFill>
          <a:srgbClr val="86BC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0">
              <a:latin typeface="Verdana" panose="020B0604030504040204" pitchFamily="34" charset="0"/>
              <a:ea typeface="Verdana" panose="020B0604030504040204" pitchFamily="34" charset="0"/>
              <a:cs typeface="Verdana" panose="020B0604030504040204" pitchFamily="34" charset="0"/>
            </a:rPr>
            <a:t>Call-Out Comment: The nature of each item of IPE is</a:t>
          </a:r>
          <a:r>
            <a:rPr lang="en-US" sz="800" b="0" baseline="0">
              <a:latin typeface="Verdana" panose="020B0604030504040204" pitchFamily="34" charset="0"/>
              <a:ea typeface="Verdana" panose="020B0604030504040204" pitchFamily="34" charset="0"/>
              <a:cs typeface="Verdana" panose="020B0604030504040204" pitchFamily="34" charset="0"/>
            </a:rPr>
            <a:t> documented within the "Data/IPE Used" column. Each item of </a:t>
          </a:r>
          <a:r>
            <a:rPr lang="en-US" sz="800" b="0">
              <a:latin typeface="Verdana" panose="020B0604030504040204" pitchFamily="34" charset="0"/>
              <a:ea typeface="Verdana" panose="020B0604030504040204" pitchFamily="34" charset="0"/>
              <a:cs typeface="Verdana" panose="020B0604030504040204" pitchFamily="34" charset="0"/>
            </a:rPr>
            <a:t>IPE documented is linked through to the "SAP IPE" tab where teams</a:t>
          </a:r>
          <a:r>
            <a:rPr lang="en-US" sz="800" b="0" baseline="0">
              <a:latin typeface="Verdana" panose="020B0604030504040204" pitchFamily="34" charset="0"/>
              <a:ea typeface="Verdana" panose="020B0604030504040204" pitchFamily="34" charset="0"/>
              <a:cs typeface="Verdana" panose="020B0604030504040204" pitchFamily="34" charset="0"/>
            </a:rPr>
            <a:t> conclude on the suitability and reliability of the IPE, including documenting procedures performed on the completeness and accuracy of each item. </a:t>
          </a:r>
          <a:endParaRPr lang="en-US" sz="800" b="0">
            <a:latin typeface="Verdana" panose="020B0604030504040204" pitchFamily="34" charset="0"/>
            <a:ea typeface="Verdana" panose="020B0604030504040204" pitchFamily="34" charset="0"/>
            <a:cs typeface="Verdana" panose="020B0604030504040204" pitchFamily="34" charset="0"/>
          </a:endParaRPr>
        </a:p>
      </xdr:txBody>
    </xdr:sp>
    <xdr:clientData/>
  </xdr:twoCellAnchor>
  <xdr:twoCellAnchor>
    <xdr:from>
      <xdr:col>8</xdr:col>
      <xdr:colOff>34712</xdr:colOff>
      <xdr:row>4</xdr:row>
      <xdr:rowOff>114300</xdr:rowOff>
    </xdr:from>
    <xdr:to>
      <xdr:col>10</xdr:col>
      <xdr:colOff>1196340</xdr:colOff>
      <xdr:row>22</xdr:row>
      <xdr:rowOff>106679</xdr:rowOff>
    </xdr:to>
    <xdr:sp macro="" textlink="">
      <xdr:nvSpPr>
        <xdr:cNvPr id="7" name="Rounded Rectangular Callout 10">
          <a:extLst>
            <a:ext uri="{FF2B5EF4-FFF2-40B4-BE49-F238E27FC236}">
              <a16:creationId xmlns:a16="http://schemas.microsoft.com/office/drawing/2014/main" id="{6C19FF6F-C326-4559-BB2A-334D1DCC5175}"/>
            </a:ext>
          </a:extLst>
        </xdr:cNvPr>
        <xdr:cNvSpPr/>
      </xdr:nvSpPr>
      <xdr:spPr>
        <a:xfrm>
          <a:off x="9933092" y="632460"/>
          <a:ext cx="3782908" cy="2194559"/>
        </a:xfrm>
        <a:prstGeom prst="wedgeRoundRectCallout">
          <a:avLst>
            <a:gd name="adj1" fmla="val -61185"/>
            <a:gd name="adj2" fmla="val 31580"/>
            <a:gd name="adj3" fmla="val 16667"/>
          </a:avLst>
        </a:prstGeom>
        <a:solidFill>
          <a:srgbClr val="86BC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0">
              <a:latin typeface="Verdana" panose="020B0604030504040204" pitchFamily="34" charset="0"/>
              <a:ea typeface="Verdana" panose="020B0604030504040204" pitchFamily="34" charset="0"/>
              <a:cs typeface="Verdana" panose="020B0604030504040204" pitchFamily="34" charset="0"/>
            </a:rPr>
            <a:t>Call-Out Comment:</a:t>
          </a:r>
          <a:r>
            <a:rPr lang="en-US" sz="800" b="0" baseline="0">
              <a:latin typeface="Verdana" panose="020B0604030504040204" pitchFamily="34" charset="0"/>
              <a:ea typeface="Verdana" panose="020B0604030504040204" pitchFamily="34" charset="0"/>
              <a:cs typeface="Verdana" panose="020B0604030504040204" pitchFamily="34" charset="0"/>
            </a:rPr>
            <a:t> </a:t>
          </a:r>
          <a:r>
            <a:rPr lang="en-US" sz="800" b="0">
              <a:latin typeface="Verdana" panose="020B0604030504040204" pitchFamily="34" charset="0"/>
              <a:ea typeface="Verdana" panose="020B0604030504040204" pitchFamily="34" charset="0"/>
              <a:cs typeface="Verdana" panose="020B0604030504040204" pitchFamily="34" charset="0"/>
            </a:rPr>
            <a:t>Relationships between data used to develop expectations fall into four types:</a:t>
          </a:r>
        </a:p>
        <a:p>
          <a:pPr algn="l"/>
          <a:r>
            <a:rPr lang="en-US" sz="800" b="0">
              <a:latin typeface="Verdana" panose="020B0604030504040204" pitchFamily="34" charset="0"/>
              <a:ea typeface="Verdana" panose="020B0604030504040204" pitchFamily="34" charset="0"/>
              <a:cs typeface="Verdana" panose="020B0604030504040204" pitchFamily="34" charset="0"/>
            </a:rPr>
            <a:t>1. Prior-year balance modified for changes in current year.</a:t>
          </a:r>
        </a:p>
        <a:p>
          <a:pPr algn="l"/>
          <a:r>
            <a:rPr lang="en-US" sz="800" b="0">
              <a:latin typeface="Verdana" panose="020B0604030504040204" pitchFamily="34" charset="0"/>
              <a:ea typeface="Verdana" panose="020B0604030504040204" pitchFamily="34" charset="0"/>
              <a:cs typeface="Verdana" panose="020B0604030504040204" pitchFamily="34" charset="0"/>
            </a:rPr>
            <a:t>2. Relationship with other internal or external financial</a:t>
          </a:r>
          <a:r>
            <a:rPr lang="en-US" sz="800" b="0" baseline="0">
              <a:latin typeface="Verdana" panose="020B0604030504040204" pitchFamily="34" charset="0"/>
              <a:ea typeface="Verdana" panose="020B0604030504040204" pitchFamily="34" charset="0"/>
              <a:cs typeface="Verdana" panose="020B0604030504040204" pitchFamily="34" charset="0"/>
            </a:rPr>
            <a:t> data.</a:t>
          </a:r>
        </a:p>
        <a:p>
          <a:pPr algn="l"/>
          <a:r>
            <a:rPr lang="en-US" sz="800" b="0" baseline="0">
              <a:latin typeface="Verdana" panose="020B0604030504040204" pitchFamily="34" charset="0"/>
              <a:ea typeface="Verdana" panose="020B0604030504040204" pitchFamily="34" charset="0"/>
              <a:cs typeface="Verdana" panose="020B0604030504040204" pitchFamily="34" charset="0"/>
            </a:rPr>
            <a:t>3. Relationship with other internal or external nonfinancial data.</a:t>
          </a:r>
        </a:p>
        <a:p>
          <a:pPr algn="l"/>
          <a:r>
            <a:rPr lang="en-US" sz="800" b="0" baseline="0">
              <a:latin typeface="Verdana" panose="020B0604030504040204" pitchFamily="34" charset="0"/>
              <a:ea typeface="Verdana" panose="020B0604030504040204" pitchFamily="34" charset="0"/>
              <a:cs typeface="Verdana" panose="020B0604030504040204" pitchFamily="34" charset="0"/>
            </a:rPr>
            <a:t>4. Budget modified for expected changes.</a:t>
          </a:r>
        </a:p>
        <a:p>
          <a:pPr algn="l"/>
          <a:endParaRPr lang="en-US" sz="800" b="0" baseline="0">
            <a:latin typeface="Verdana" panose="020B0604030504040204" pitchFamily="34" charset="0"/>
            <a:ea typeface="Verdana" panose="020B0604030504040204" pitchFamily="34" charset="0"/>
            <a:cs typeface="Verdana" panose="020B060403050404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800" b="0" baseline="0">
              <a:latin typeface="Verdana" panose="020B0604030504040204" pitchFamily="34" charset="0"/>
              <a:ea typeface="Verdana" panose="020B0604030504040204" pitchFamily="34" charset="0"/>
              <a:cs typeface="Verdana" panose="020B0604030504040204" pitchFamily="34" charset="0"/>
            </a:rPr>
            <a:t>Engagement teams </a:t>
          </a:r>
          <a:r>
            <a:rPr lang="en-US" sz="800" b="0" baseline="0">
              <a:solidFill>
                <a:schemeClr val="lt1"/>
              </a:solidFill>
              <a:latin typeface="Verdana" panose="020B0604030504040204" pitchFamily="34" charset="0"/>
              <a:ea typeface="Verdana" panose="020B0604030504040204" pitchFamily="34" charset="0"/>
              <a:cs typeface="Verdana" panose="020B0604030504040204" pitchFamily="34" charset="0"/>
            </a:rPr>
            <a:t>include known events, changes, or other factors that would affect the expectation and include references to testing of these factors. Adjusting a prior-period amount for estimated change may be effective in certain circumstance, but there are other methods of determining an expectation (e.g., using external data or industry data). Update this template as necessary to reflect the manner in which the expectation was developed. </a:t>
          </a:r>
        </a:p>
        <a:p>
          <a:pPr marL="0" marR="0" lvl="0" indent="0" algn="l" defTabSz="914400" eaLnBrk="1" fontAlgn="auto" latinLnBrk="0" hangingPunct="1">
            <a:lnSpc>
              <a:spcPct val="100000"/>
            </a:lnSpc>
            <a:spcBef>
              <a:spcPts val="0"/>
            </a:spcBef>
            <a:spcAft>
              <a:spcPts val="0"/>
            </a:spcAft>
            <a:buClrTx/>
            <a:buSzTx/>
            <a:buFontTx/>
            <a:buNone/>
            <a:tabLst/>
            <a:defRPr/>
          </a:pPr>
          <a:endParaRPr lang="en-GB" sz="800" b="0" baseline="0">
            <a:solidFill>
              <a:schemeClr val="lt1"/>
            </a:solidFill>
            <a:latin typeface="Verdana" panose="020B0604030504040204" pitchFamily="34" charset="0"/>
            <a:ea typeface="Verdana" panose="020B0604030504040204" pitchFamily="34" charset="0"/>
            <a:cs typeface="Verdana" panose="020B0604030504040204" pitchFamily="34" charset="0"/>
          </a:endParaRPr>
        </a:p>
      </xdr:txBody>
    </xdr:sp>
    <xdr:clientData/>
  </xdr:twoCellAnchor>
  <xdr:twoCellAnchor>
    <xdr:from>
      <xdr:col>8</xdr:col>
      <xdr:colOff>81493</xdr:colOff>
      <xdr:row>24</xdr:row>
      <xdr:rowOff>9315</xdr:rowOff>
    </xdr:from>
    <xdr:to>
      <xdr:col>10</xdr:col>
      <xdr:colOff>1181100</xdr:colOff>
      <xdr:row>30</xdr:row>
      <xdr:rowOff>47626</xdr:rowOff>
    </xdr:to>
    <xdr:sp macro="" textlink="">
      <xdr:nvSpPr>
        <xdr:cNvPr id="8" name="Rounded Rectangular Callout 3">
          <a:extLst>
            <a:ext uri="{FF2B5EF4-FFF2-40B4-BE49-F238E27FC236}">
              <a16:creationId xmlns:a16="http://schemas.microsoft.com/office/drawing/2014/main" id="{69A73B5E-49CC-4478-B1A8-951DECC33E0C}"/>
            </a:ext>
          </a:extLst>
        </xdr:cNvPr>
        <xdr:cNvSpPr/>
      </xdr:nvSpPr>
      <xdr:spPr>
        <a:xfrm>
          <a:off x="9979873" y="2988735"/>
          <a:ext cx="3720887" cy="823171"/>
        </a:xfrm>
        <a:prstGeom prst="wedgeRoundRectCallout">
          <a:avLst>
            <a:gd name="adj1" fmla="val -138706"/>
            <a:gd name="adj2" fmla="val -71666"/>
            <a:gd name="adj3" fmla="val 16667"/>
          </a:avLst>
        </a:prstGeom>
        <a:solidFill>
          <a:srgbClr val="86BC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0">
              <a:latin typeface="Verdana" panose="020B0604030504040204" pitchFamily="34" charset="0"/>
              <a:ea typeface="Verdana" panose="020B0604030504040204" pitchFamily="34" charset="0"/>
              <a:cs typeface="Verdana" panose="020B0604030504040204" pitchFamily="34" charset="0"/>
            </a:rPr>
            <a:t>Call-Out Comment:</a:t>
          </a:r>
          <a:r>
            <a:rPr lang="en-US" sz="800" b="0" baseline="0">
              <a:latin typeface="Verdana" panose="020B0604030504040204" pitchFamily="34" charset="0"/>
              <a:ea typeface="Verdana" panose="020B0604030504040204" pitchFamily="34" charset="0"/>
              <a:cs typeface="Verdana" panose="020B0604030504040204" pitchFamily="34" charset="0"/>
            </a:rPr>
            <a:t> </a:t>
          </a:r>
          <a:r>
            <a:rPr lang="en-US" sz="800" b="0">
              <a:solidFill>
                <a:schemeClr val="lt1"/>
              </a:solidFill>
              <a:latin typeface="Verdana" panose="020B0604030504040204" pitchFamily="34" charset="0"/>
              <a:ea typeface="Verdana" panose="020B0604030504040204" pitchFamily="34" charset="0"/>
              <a:cs typeface="Verdana" panose="020B0604030504040204" pitchFamily="34" charset="0"/>
            </a:rPr>
            <a:t>When documenting considerations for developing an expectation, the documentation should include an evaluation of whether the expectation is sufficiently precise. These considerations include how the expectation was developed from data that has a plausible and predictable relationship. </a:t>
          </a:r>
        </a:p>
      </xdr:txBody>
    </xdr:sp>
    <xdr:clientData/>
  </xdr:twoCellAnchor>
  <xdr:twoCellAnchor>
    <xdr:from>
      <xdr:col>7</xdr:col>
      <xdr:colOff>356234</xdr:colOff>
      <xdr:row>70</xdr:row>
      <xdr:rowOff>70486</xdr:rowOff>
    </xdr:from>
    <xdr:to>
      <xdr:col>10</xdr:col>
      <xdr:colOff>1264919</xdr:colOff>
      <xdr:row>87</xdr:row>
      <xdr:rowOff>45720</xdr:rowOff>
    </xdr:to>
    <xdr:sp macro="" textlink="">
      <xdr:nvSpPr>
        <xdr:cNvPr id="9" name="Rounded Rectangular Callout 12">
          <a:extLst>
            <a:ext uri="{FF2B5EF4-FFF2-40B4-BE49-F238E27FC236}">
              <a16:creationId xmlns:a16="http://schemas.microsoft.com/office/drawing/2014/main" id="{E4377651-C3AE-4ACD-AFFA-49B4EF2F6A28}"/>
            </a:ext>
          </a:extLst>
        </xdr:cNvPr>
        <xdr:cNvSpPr/>
      </xdr:nvSpPr>
      <xdr:spPr>
        <a:xfrm>
          <a:off x="9858374" y="9283066"/>
          <a:ext cx="3926205" cy="2177414"/>
        </a:xfrm>
        <a:prstGeom prst="wedgeRoundRectCallout">
          <a:avLst>
            <a:gd name="adj1" fmla="val -58902"/>
            <a:gd name="adj2" fmla="val -45514"/>
            <a:gd name="adj3" fmla="val 16667"/>
          </a:avLst>
        </a:prstGeom>
        <a:solidFill>
          <a:srgbClr val="86BC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800" b="0">
              <a:solidFill>
                <a:schemeClr val="bg1"/>
              </a:solidFill>
              <a:latin typeface="Verdana" panose="020B0604030504040204" pitchFamily="34" charset="0"/>
              <a:ea typeface="Verdana" panose="020B0604030504040204" pitchFamily="34" charset="0"/>
              <a:cs typeface="Verdana" panose="020B0604030504040204" pitchFamily="34" charset="0"/>
            </a:rPr>
            <a:t>Call-Out Comment: </a:t>
          </a:r>
          <a:r>
            <a:rPr lang="en-US" sz="800" b="0" baseline="0">
              <a:solidFill>
                <a:schemeClr val="bg1"/>
              </a:solidFill>
              <a:latin typeface="Verdana" panose="020B0604030504040204" pitchFamily="34" charset="0"/>
              <a:ea typeface="Verdana" panose="020B0604030504040204" pitchFamily="34" charset="0"/>
              <a:cs typeface="Verdana" panose="020B0604030504040204" pitchFamily="34" charset="0"/>
            </a:rPr>
            <a:t>We may consider, if practicable, refining the model if we determine that the differences between the recorded amount and our expectation are resulting from factors that ought to have been included in our original expectation. When not practicable, it is important to consider the effects that the factors identified as missing from the expectation would have on the identification of differences in the other disaggregated parts. When refining a model, take appropriate steps to determine that the new relationship is plausible and predictable and the new data used in developing our expectations is reliable. We may also need to consider revising </a:t>
          </a:r>
          <a:r>
            <a:rPr lang="en-GB" sz="800" b="0" baseline="0">
              <a:solidFill>
                <a:schemeClr val="bg1"/>
              </a:solidFill>
              <a:latin typeface="Verdana" panose="020B0604030504040204" pitchFamily="34" charset="0"/>
              <a:ea typeface="Verdana" panose="020B0604030504040204" pitchFamily="34" charset="0"/>
              <a:cs typeface="Verdana" panose="020B0604030504040204" pitchFamily="34" charset="0"/>
            </a:rPr>
            <a:t>t</a:t>
          </a:r>
          <a:r>
            <a:rPr lang="en-US" sz="800" b="0" baseline="0">
              <a:solidFill>
                <a:schemeClr val="bg1"/>
              </a:solidFill>
              <a:latin typeface="Verdana" panose="020B0604030504040204" pitchFamily="34" charset="0"/>
              <a:ea typeface="Verdana" panose="020B0604030504040204" pitchFamily="34" charset="0"/>
              <a:cs typeface="Verdana" panose="020B0604030504040204" pitchFamily="34" charset="0"/>
            </a:rPr>
            <a:t>he level of disaggregation, in view of how efficient it is to obtain the new data to be used in developing our expectations at the present level of disaggregation and the threshold, with regard to the increased precision of our expectations.</a:t>
          </a:r>
          <a:endParaRPr lang="en-GB" sz="800" b="0" baseline="0">
            <a:solidFill>
              <a:schemeClr val="bg1"/>
            </a:solidFill>
            <a:latin typeface="Verdana" panose="020B0604030504040204" pitchFamily="34" charset="0"/>
            <a:ea typeface="Verdana" panose="020B0604030504040204" pitchFamily="34" charset="0"/>
            <a:cs typeface="Verdana" panose="020B0604030504040204" pitchFamily="34" charset="0"/>
          </a:endParaRPr>
        </a:p>
        <a:p>
          <a:endParaRPr lang="en-GB" sz="800" b="0" baseline="0">
            <a:solidFill>
              <a:schemeClr val="bg1"/>
            </a:solidFill>
            <a:latin typeface="Verdana" panose="020B0604030504040204" pitchFamily="34" charset="0"/>
            <a:ea typeface="Verdana" panose="020B0604030504040204" pitchFamily="34" charset="0"/>
            <a:cs typeface="Verdana" panose="020B0604030504040204" pitchFamily="34" charset="0"/>
          </a:endParaRPr>
        </a:p>
        <a:p>
          <a:pPr algn="l"/>
          <a:r>
            <a:rPr lang="en-US" sz="800" b="0" baseline="0">
              <a:solidFill>
                <a:schemeClr val="bg1"/>
              </a:solidFill>
              <a:latin typeface="Verdana" panose="020B0604030504040204" pitchFamily="34" charset="0"/>
              <a:ea typeface="Verdana" panose="020B0604030504040204" pitchFamily="34" charset="0"/>
              <a:cs typeface="Verdana" panose="020B0604030504040204" pitchFamily="34" charset="0"/>
            </a:rPr>
            <a:t> </a:t>
          </a:r>
        </a:p>
      </xdr:txBody>
    </xdr:sp>
    <xdr:clientData/>
  </xdr:twoCellAnchor>
  <xdr:twoCellAnchor>
    <xdr:from>
      <xdr:col>5</xdr:col>
      <xdr:colOff>289560</xdr:colOff>
      <xdr:row>47</xdr:row>
      <xdr:rowOff>304800</xdr:rowOff>
    </xdr:from>
    <xdr:to>
      <xdr:col>8</xdr:col>
      <xdr:colOff>662940</xdr:colOff>
      <xdr:row>50</xdr:row>
      <xdr:rowOff>83820</xdr:rowOff>
    </xdr:to>
    <xdr:sp macro="" textlink="">
      <xdr:nvSpPr>
        <xdr:cNvPr id="10" name="Rounded Rectangular Callout 14">
          <a:extLst>
            <a:ext uri="{FF2B5EF4-FFF2-40B4-BE49-F238E27FC236}">
              <a16:creationId xmlns:a16="http://schemas.microsoft.com/office/drawing/2014/main" id="{92312381-9E17-47A4-9D5F-84FBFF0D2311}"/>
            </a:ext>
          </a:extLst>
        </xdr:cNvPr>
        <xdr:cNvSpPr/>
      </xdr:nvSpPr>
      <xdr:spPr>
        <a:xfrm>
          <a:off x="4777740" y="6271260"/>
          <a:ext cx="5783580" cy="434340"/>
        </a:xfrm>
        <a:prstGeom prst="wedgeRoundRectCallout">
          <a:avLst>
            <a:gd name="adj1" fmla="val -55696"/>
            <a:gd name="adj2" fmla="val -53611"/>
            <a:gd name="adj3" fmla="val 16667"/>
          </a:avLst>
        </a:prstGeom>
        <a:solidFill>
          <a:srgbClr val="86BC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chemeClr val="bg1"/>
              </a:solidFill>
              <a:latin typeface="+mj-lt"/>
            </a:rPr>
            <a:t>Call-Out Comment:</a:t>
          </a:r>
          <a:r>
            <a:rPr lang="en-US" sz="800" baseline="0">
              <a:solidFill>
                <a:schemeClr val="bg1"/>
              </a:solidFill>
              <a:latin typeface="+mj-lt"/>
            </a:rPr>
            <a:t> </a:t>
          </a:r>
          <a:r>
            <a:rPr lang="en-US" sz="800">
              <a:solidFill>
                <a:schemeClr val="bg1"/>
              </a:solidFill>
              <a:latin typeface="+mj-lt"/>
            </a:rPr>
            <a:t>Based on the precision</a:t>
          </a:r>
          <a:r>
            <a:rPr lang="en-US" sz="800" baseline="0">
              <a:solidFill>
                <a:schemeClr val="bg1"/>
              </a:solidFill>
              <a:latin typeface="+mj-lt"/>
            </a:rPr>
            <a:t> of your expectation, consider reducing the maximum threshold listed in Figure 23002-2.1. </a:t>
          </a:r>
          <a:endParaRPr lang="en-US" sz="800">
            <a:solidFill>
              <a:schemeClr val="bg1"/>
            </a:solidFill>
            <a:latin typeface="+mj-lt"/>
          </a:endParaRPr>
        </a:p>
      </xdr:txBody>
    </xdr:sp>
    <xdr:clientData/>
  </xdr:twoCellAnchor>
  <xdr:twoCellAnchor>
    <xdr:from>
      <xdr:col>5</xdr:col>
      <xdr:colOff>228600</xdr:colOff>
      <xdr:row>40</xdr:row>
      <xdr:rowOff>0</xdr:rowOff>
    </xdr:from>
    <xdr:to>
      <xdr:col>8</xdr:col>
      <xdr:colOff>647700</xdr:colOff>
      <xdr:row>47</xdr:row>
      <xdr:rowOff>175260</xdr:rowOff>
    </xdr:to>
    <xdr:sp macro="" textlink="">
      <xdr:nvSpPr>
        <xdr:cNvPr id="11" name="Rounded Rectangular Callout 14">
          <a:extLst>
            <a:ext uri="{FF2B5EF4-FFF2-40B4-BE49-F238E27FC236}">
              <a16:creationId xmlns:a16="http://schemas.microsoft.com/office/drawing/2014/main" id="{7F70CCB1-7665-4546-8D7C-1B147B298A44}"/>
            </a:ext>
          </a:extLst>
        </xdr:cNvPr>
        <xdr:cNvSpPr/>
      </xdr:nvSpPr>
      <xdr:spPr>
        <a:xfrm>
          <a:off x="4716780" y="5059680"/>
          <a:ext cx="5829300" cy="1082040"/>
        </a:xfrm>
        <a:prstGeom prst="wedgeRoundRectCallout">
          <a:avLst>
            <a:gd name="adj1" fmla="val -54189"/>
            <a:gd name="adj2" fmla="val 14409"/>
            <a:gd name="adj3" fmla="val 16667"/>
          </a:avLst>
        </a:prstGeom>
        <a:solidFill>
          <a:srgbClr val="86BC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solidFill>
                <a:schemeClr val="bg1"/>
              </a:solidFill>
              <a:latin typeface="+mj-lt"/>
            </a:rPr>
            <a:t>Call-Out Comment: </a:t>
          </a:r>
          <a:r>
            <a:rPr lang="en-US" sz="800">
              <a:solidFill>
                <a:schemeClr val="bg1"/>
              </a:solidFill>
              <a:latin typeface="+mj-lt"/>
              <a:ea typeface="+mn-ea"/>
              <a:cs typeface="+mn-cs"/>
            </a:rPr>
            <a:t>There may be circumstances in which the team uses both substantive analytical procedures and other substantive procedures to address a risk of material misstatement. A less-precise expectation may be appropriate when evidence obtained from performing the substantive analytical procedure will be combined with audit evidence from other substantive procedures. Engagement teams using the combination approach may adjust the threshold by modifying the starting point (e.g. when addressing a higher risk and relying on controls, the team may use lower risk and relying on controls within the threshold calculation). </a:t>
          </a:r>
        </a:p>
      </xdr:txBody>
    </xdr:sp>
    <xdr:clientData/>
  </xdr:twoCellAnchor>
  <xdr:twoCellAnchor>
    <xdr:from>
      <xdr:col>7</xdr:col>
      <xdr:colOff>389254</xdr:colOff>
      <xdr:row>88</xdr:row>
      <xdr:rowOff>50166</xdr:rowOff>
    </xdr:from>
    <xdr:to>
      <xdr:col>10</xdr:col>
      <xdr:colOff>1297939</xdr:colOff>
      <xdr:row>94</xdr:row>
      <xdr:rowOff>76200</xdr:rowOff>
    </xdr:to>
    <xdr:sp macro="" textlink="">
      <xdr:nvSpPr>
        <xdr:cNvPr id="12" name="Rounded Rectangular Callout 12">
          <a:extLst>
            <a:ext uri="{FF2B5EF4-FFF2-40B4-BE49-F238E27FC236}">
              <a16:creationId xmlns:a16="http://schemas.microsoft.com/office/drawing/2014/main" id="{5B3A639C-B6E2-4E72-98BD-6161C179CF79}"/>
            </a:ext>
          </a:extLst>
        </xdr:cNvPr>
        <xdr:cNvSpPr/>
      </xdr:nvSpPr>
      <xdr:spPr>
        <a:xfrm>
          <a:off x="9891394" y="11594466"/>
          <a:ext cx="3926205" cy="803274"/>
        </a:xfrm>
        <a:prstGeom prst="wedgeRoundRectCallout">
          <a:avLst>
            <a:gd name="adj1" fmla="val -64948"/>
            <a:gd name="adj2" fmla="val -52766"/>
            <a:gd name="adj3" fmla="val 16667"/>
          </a:avLst>
        </a:prstGeom>
        <a:solidFill>
          <a:srgbClr val="86BC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800" b="0">
              <a:solidFill>
                <a:schemeClr val="bg1"/>
              </a:solidFill>
              <a:latin typeface="Verdana" panose="020B0604030504040204" pitchFamily="34" charset="0"/>
              <a:ea typeface="Verdana" panose="020B0604030504040204" pitchFamily="34" charset="0"/>
              <a:cs typeface="Verdana" panose="020B0604030504040204" pitchFamily="34" charset="0"/>
            </a:rPr>
            <a:t>Call-Out Comment: </a:t>
          </a:r>
          <a:r>
            <a:rPr lang="en-US" sz="800" b="0" baseline="0">
              <a:solidFill>
                <a:schemeClr val="bg1"/>
              </a:solidFill>
              <a:latin typeface="Verdana" panose="020B0604030504040204" pitchFamily="34" charset="0"/>
              <a:ea typeface="Verdana" panose="020B0604030504040204" pitchFamily="34" charset="0"/>
              <a:cs typeface="Verdana" panose="020B0604030504040204" pitchFamily="34" charset="0"/>
            </a:rPr>
            <a:t>The amount that is treated as the misstatement is a matter of professional judgment. At a minimum the misstatement will be the total of the unexplained difference over the thresholds; however, it could be a larger amount if we believe that is appropriate.</a:t>
          </a:r>
          <a:endParaRPr lang="en-GB" sz="800" b="0" baseline="0">
            <a:solidFill>
              <a:schemeClr val="bg1"/>
            </a:solidFill>
            <a:latin typeface="Verdana" panose="020B0604030504040204" pitchFamily="34" charset="0"/>
            <a:ea typeface="Verdana" panose="020B0604030504040204" pitchFamily="34" charset="0"/>
            <a:cs typeface="Verdana" panose="020B060403050404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16</xdr:col>
      <xdr:colOff>325120</xdr:colOff>
      <xdr:row>8</xdr:row>
      <xdr:rowOff>1823931</xdr:rowOff>
    </xdr:from>
    <xdr:to>
      <xdr:col>20</xdr:col>
      <xdr:colOff>464820</xdr:colOff>
      <xdr:row>14</xdr:row>
      <xdr:rowOff>38100</xdr:rowOff>
    </xdr:to>
    <xdr:sp macro="" textlink="">
      <xdr:nvSpPr>
        <xdr:cNvPr id="2" name="Rounded Rectangular Callout 7">
          <a:extLst>
            <a:ext uri="{FF2B5EF4-FFF2-40B4-BE49-F238E27FC236}">
              <a16:creationId xmlns:a16="http://schemas.microsoft.com/office/drawing/2014/main" id="{38967C90-E7A5-4D6C-8E1E-BCD78E0AC751}"/>
            </a:ext>
          </a:extLst>
        </xdr:cNvPr>
        <xdr:cNvSpPr/>
      </xdr:nvSpPr>
      <xdr:spPr>
        <a:xfrm>
          <a:off x="11831320" y="3165051"/>
          <a:ext cx="2799080" cy="1429809"/>
        </a:xfrm>
        <a:prstGeom prst="wedgeRoundRectCallout">
          <a:avLst>
            <a:gd name="adj1" fmla="val -62221"/>
            <a:gd name="adj2" fmla="val -44662"/>
            <a:gd name="adj3" fmla="val 16667"/>
          </a:avLst>
        </a:prstGeom>
        <a:solidFill>
          <a:srgbClr val="86BC25"/>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800">
              <a:solidFill>
                <a:schemeClr val="lt1"/>
              </a:solidFill>
              <a:effectLst/>
              <a:latin typeface="+mn-lt"/>
              <a:ea typeface="+mn-ea"/>
              <a:cs typeface="+mn-cs"/>
            </a:rPr>
            <a:t>Call-Out Comment:</a:t>
          </a:r>
          <a:r>
            <a:rPr lang="en-US" sz="800" baseline="0">
              <a:solidFill>
                <a:schemeClr val="lt1"/>
              </a:solidFill>
              <a:effectLst/>
              <a:latin typeface="+mn-lt"/>
              <a:ea typeface="+mn-ea"/>
              <a:cs typeface="+mn-cs"/>
            </a:rPr>
            <a:t> If source data used in the testing is from a third-party service organization, include reference to the current service auditor report and related testing of controls of our client. If no service auditor report was obtained, include reference to the testing of the completeness and accuracy of the source data (controls approach or direct testing). </a:t>
          </a:r>
          <a:endParaRPr lang="en-US" sz="800">
            <a:effectLst/>
          </a:endParaRPr>
        </a:p>
      </xdr:txBody>
    </xdr:sp>
    <xdr:clientData/>
  </xdr:twoCellAnchor>
  <xdr:twoCellAnchor>
    <xdr:from>
      <xdr:col>16</xdr:col>
      <xdr:colOff>241726</xdr:colOff>
      <xdr:row>1</xdr:row>
      <xdr:rowOff>6034</xdr:rowOff>
    </xdr:from>
    <xdr:to>
      <xdr:col>20</xdr:col>
      <xdr:colOff>424815</xdr:colOff>
      <xdr:row>8</xdr:row>
      <xdr:rowOff>1304926</xdr:rowOff>
    </xdr:to>
    <xdr:sp macro="" textlink="">
      <xdr:nvSpPr>
        <xdr:cNvPr id="3" name="Rounded Rectangular Callout 7">
          <a:extLst>
            <a:ext uri="{FF2B5EF4-FFF2-40B4-BE49-F238E27FC236}">
              <a16:creationId xmlns:a16="http://schemas.microsoft.com/office/drawing/2014/main" id="{1175BCF3-A128-4C41-8281-EBDCE7EB7F7F}"/>
            </a:ext>
          </a:extLst>
        </xdr:cNvPr>
        <xdr:cNvSpPr/>
      </xdr:nvSpPr>
      <xdr:spPr>
        <a:xfrm>
          <a:off x="12009864" y="129859"/>
          <a:ext cx="2897714" cy="2613342"/>
        </a:xfrm>
        <a:prstGeom prst="wedgeRoundRectCallout">
          <a:avLst>
            <a:gd name="adj1" fmla="val -57457"/>
            <a:gd name="adj2" fmla="val -5344"/>
            <a:gd name="adj3" fmla="val 16667"/>
          </a:avLst>
        </a:prstGeom>
        <a:solidFill>
          <a:srgbClr val="86BC25"/>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800">
              <a:solidFill>
                <a:schemeClr val="lt1"/>
              </a:solidFill>
              <a:effectLst/>
              <a:latin typeface="+mn-lt"/>
              <a:ea typeface="+mn-ea"/>
              <a:cs typeface="+mn-cs"/>
            </a:rPr>
            <a:t>Call-Out Comment:</a:t>
          </a:r>
          <a:r>
            <a:rPr lang="en-US" sz="800" baseline="0">
              <a:solidFill>
                <a:schemeClr val="lt1"/>
              </a:solidFill>
              <a:effectLst/>
              <a:latin typeface="+mn-lt"/>
              <a:ea typeface="+mn-ea"/>
              <a:cs typeface="+mn-cs"/>
            </a:rPr>
            <a:t> </a:t>
          </a:r>
          <a:r>
            <a:rPr lang="en-US" sz="800">
              <a:effectLst/>
            </a:rPr>
            <a:t>The examples provided are relevant for a direct testing approach. Accuracy and/or completeness of the IPE may also be addressed through tests of controls. If IPE is addressed through tests of controls, include</a:t>
          </a:r>
          <a:r>
            <a:rPr lang="en-US" sz="800" baseline="0">
              <a:effectLst/>
            </a:rPr>
            <a:t> </a:t>
          </a:r>
          <a:r>
            <a:rPr lang="en-US" sz="800">
              <a:effectLst/>
            </a:rPr>
            <a:t>reference to control(s) that address the completeness and accuracy of source data used in the IPE, as well as IT and other control(s) that address the report parameters and logic. Refer to the</a:t>
          </a:r>
          <a:r>
            <a:rPr lang="en-US" sz="800" baseline="0">
              <a:effectLst/>
            </a:rPr>
            <a:t> </a:t>
          </a:r>
          <a:r>
            <a:rPr lang="en-US" sz="800">
              <a:effectLst/>
            </a:rPr>
            <a:t>firm's guidance for testing of IPE/IUC.</a:t>
          </a:r>
        </a:p>
        <a:p>
          <a:pPr marL="0" marR="0" lvl="0" indent="0" defTabSz="914400" eaLnBrk="1" fontAlgn="auto" latinLnBrk="0" hangingPunct="1">
            <a:lnSpc>
              <a:spcPct val="100000"/>
            </a:lnSpc>
            <a:spcBef>
              <a:spcPts val="0"/>
            </a:spcBef>
            <a:spcAft>
              <a:spcPts val="0"/>
            </a:spcAft>
            <a:buClrTx/>
            <a:buSzTx/>
            <a:buFontTx/>
            <a:buNone/>
            <a:tabLst/>
            <a:defRPr/>
          </a:pPr>
          <a:endParaRPr lang="en-US" sz="800">
            <a:solidFill>
              <a:schemeClr val="lt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800">
              <a:solidFill>
                <a:schemeClr val="lt1"/>
              </a:solidFill>
              <a:effectLst/>
              <a:latin typeface="+mn-lt"/>
              <a:ea typeface="+mn-ea"/>
              <a:cs typeface="+mn-cs"/>
            </a:rPr>
            <a:t>Teams may also use a combined approach if they do not have controls reliance over all aspects or in the event that obtaining incremental assurance is warranted. In this instance, teams utilize the examples provided</a:t>
          </a:r>
          <a:r>
            <a:rPr lang="en-US" sz="800" baseline="0">
              <a:solidFill>
                <a:schemeClr val="lt1"/>
              </a:solidFill>
              <a:effectLst/>
              <a:latin typeface="+mn-lt"/>
              <a:ea typeface="+mn-ea"/>
              <a:cs typeface="+mn-cs"/>
            </a:rPr>
            <a:t> </a:t>
          </a:r>
          <a:r>
            <a:rPr lang="en-US" sz="800">
              <a:solidFill>
                <a:schemeClr val="lt1"/>
              </a:solidFill>
              <a:effectLst/>
              <a:latin typeface="+mn-lt"/>
              <a:ea typeface="+mn-ea"/>
              <a:cs typeface="+mn-cs"/>
            </a:rPr>
            <a:t>and tailor according to their specific requirements</a:t>
          </a:r>
          <a:r>
            <a:rPr lang="en-US" sz="1100" baseline="0">
              <a:solidFill>
                <a:schemeClr val="lt1"/>
              </a:solidFill>
              <a:effectLst/>
              <a:latin typeface="+mn-lt"/>
              <a:ea typeface="+mn-ea"/>
              <a:cs typeface="+mn-cs"/>
            </a:rPr>
            <a:t>. </a:t>
          </a:r>
          <a:endParaRPr lang="en-US" sz="800">
            <a:effectLst/>
          </a:endParaRPr>
        </a:p>
      </xdr:txBody>
    </xdr:sp>
    <xdr:clientData/>
  </xdr:twoCellAnchor>
  <xdr:twoCellAnchor>
    <xdr:from>
      <xdr:col>9</xdr:col>
      <xdr:colOff>723901</xdr:colOff>
      <xdr:row>10</xdr:row>
      <xdr:rowOff>22860</xdr:rowOff>
    </xdr:from>
    <xdr:to>
      <xdr:col>15</xdr:col>
      <xdr:colOff>1135381</xdr:colOff>
      <xdr:row>33</xdr:row>
      <xdr:rowOff>114300</xdr:rowOff>
    </xdr:to>
    <xdr:sp macro="" textlink="">
      <xdr:nvSpPr>
        <xdr:cNvPr id="4" name="Rounded Rectangular Callout 7">
          <a:extLst>
            <a:ext uri="{FF2B5EF4-FFF2-40B4-BE49-F238E27FC236}">
              <a16:creationId xmlns:a16="http://schemas.microsoft.com/office/drawing/2014/main" id="{B3A0CA9C-1CAE-4730-80A8-26F1CE7610E1}"/>
            </a:ext>
          </a:extLst>
        </xdr:cNvPr>
        <xdr:cNvSpPr/>
      </xdr:nvSpPr>
      <xdr:spPr>
        <a:xfrm>
          <a:off x="7018021" y="4061460"/>
          <a:ext cx="4450080" cy="3070860"/>
        </a:xfrm>
        <a:prstGeom prst="wedgeRoundRectCallout">
          <a:avLst>
            <a:gd name="adj1" fmla="val -13508"/>
            <a:gd name="adj2" fmla="val -55052"/>
            <a:gd name="adj3" fmla="val 16667"/>
          </a:avLst>
        </a:prstGeom>
        <a:solidFill>
          <a:srgbClr val="86BC25"/>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a:r>
            <a:rPr lang="en-US" sz="800">
              <a:solidFill>
                <a:schemeClr val="lt1"/>
              </a:solidFill>
              <a:effectLst/>
              <a:latin typeface="+mn-lt"/>
              <a:ea typeface="+mn-ea"/>
              <a:cs typeface="+mn-cs"/>
            </a:rPr>
            <a:t>Call-Out Comment: Engagements teams </a:t>
          </a:r>
          <a:r>
            <a:rPr lang="en-US" sz="800" baseline="0">
              <a:solidFill>
                <a:schemeClr val="lt1"/>
              </a:solidFill>
              <a:effectLst/>
              <a:latin typeface="+mn-lt"/>
              <a:ea typeface="+mn-ea"/>
              <a:cs typeface="+mn-cs"/>
            </a:rPr>
            <a:t>consider both the number of instances of IPE to test and the number of items to test within each IPE instance. </a:t>
          </a:r>
        </a:p>
        <a:p>
          <a:pPr lvl="0"/>
          <a:endParaRPr lang="en-US" sz="800" baseline="0">
            <a:solidFill>
              <a:schemeClr val="lt1"/>
            </a:solidFill>
            <a:effectLst/>
            <a:latin typeface="+mn-lt"/>
            <a:ea typeface="+mn-ea"/>
            <a:cs typeface="+mn-cs"/>
          </a:endParaRPr>
        </a:p>
        <a:p>
          <a:pPr lvl="0"/>
          <a:r>
            <a:rPr lang="en-US" sz="800" baseline="0">
              <a:solidFill>
                <a:schemeClr val="lt1"/>
              </a:solidFill>
              <a:effectLst/>
              <a:latin typeface="+mn-lt"/>
              <a:ea typeface="+mn-ea"/>
              <a:cs typeface="+mn-cs"/>
            </a:rPr>
            <a:t>Each time we use an item of IPE in a test of controls or substantive procedures this is referred to as an "instance." Teams must test each instance of IPE used (unless the IPE is system-generated and subject to effective general IT controls) </a:t>
          </a:r>
          <a:r>
            <a:rPr lang="en-US" sz="1100" baseline="0">
              <a:solidFill>
                <a:schemeClr val="lt1"/>
              </a:solidFill>
              <a:effectLst/>
              <a:latin typeface="+mn-lt"/>
              <a:ea typeface="+mn-ea"/>
              <a:cs typeface="+mn-cs"/>
            </a:rPr>
            <a:t>—</a:t>
          </a:r>
          <a:r>
            <a:rPr lang="en-US" sz="800" baseline="0">
              <a:solidFill>
                <a:schemeClr val="lt1"/>
              </a:solidFill>
              <a:effectLst/>
              <a:latin typeface="+mn-lt"/>
              <a:ea typeface="+mn-ea"/>
              <a:cs typeface="+mn-cs"/>
            </a:rPr>
            <a:t> see </a:t>
          </a:r>
          <a:r>
            <a:rPr lang="en-US" sz="800" i="1" baseline="0">
              <a:solidFill>
                <a:schemeClr val="lt1"/>
              </a:solidFill>
              <a:effectLst/>
              <a:latin typeface="+mn-lt"/>
              <a:ea typeface="+mn-ea"/>
              <a:cs typeface="+mn-cs"/>
            </a:rPr>
            <a:t>Information Produced by the Entity Guide </a:t>
          </a:r>
          <a:r>
            <a:rPr lang="en-US" sz="800" baseline="0">
              <a:solidFill>
                <a:schemeClr val="lt1"/>
              </a:solidFill>
              <a:effectLst/>
              <a:latin typeface="+mn-lt"/>
              <a:ea typeface="+mn-ea"/>
              <a:cs typeface="+mn-cs"/>
            </a:rPr>
            <a:t>for further guidance.</a:t>
          </a:r>
        </a:p>
        <a:p>
          <a:pPr lvl="0"/>
          <a:endParaRPr lang="en-US" sz="800" baseline="0">
            <a:solidFill>
              <a:schemeClr val="lt1"/>
            </a:solidFill>
            <a:effectLst/>
            <a:latin typeface="+mn-lt"/>
            <a:ea typeface="+mn-ea"/>
            <a:cs typeface="+mn-cs"/>
          </a:endParaRPr>
        </a:p>
        <a:p>
          <a:pPr lvl="0"/>
          <a:r>
            <a:rPr lang="en-US" sz="800">
              <a:solidFill>
                <a:schemeClr val="lt1"/>
              </a:solidFill>
              <a:effectLst/>
              <a:latin typeface="+mn-lt"/>
              <a:ea typeface="+mn-ea"/>
              <a:cs typeface="+mn-cs"/>
            </a:rPr>
            <a:t>The number</a:t>
          </a:r>
          <a:r>
            <a:rPr lang="en-US" sz="800" baseline="0">
              <a:solidFill>
                <a:schemeClr val="lt1"/>
              </a:solidFill>
              <a:effectLst/>
              <a:latin typeface="+mn-lt"/>
              <a:ea typeface="+mn-ea"/>
              <a:cs typeface="+mn-cs"/>
            </a:rPr>
            <a:t> of items we select from each instance of the IPE is based on auditor judgment considering the nature of the IPE such as whether: </a:t>
          </a:r>
        </a:p>
        <a:p>
          <a:pPr lvl="0"/>
          <a:endParaRPr lang="en-US" sz="800" baseline="0">
            <a:solidFill>
              <a:schemeClr val="lt1"/>
            </a:solidFill>
            <a:effectLst/>
            <a:latin typeface="+mn-lt"/>
            <a:ea typeface="+mn-ea"/>
            <a:cs typeface="+mn-cs"/>
          </a:endParaRPr>
        </a:p>
        <a:p>
          <a:pPr lvl="0" algn="l"/>
          <a:r>
            <a:rPr lang="en-US" sz="800" baseline="0">
              <a:solidFill>
                <a:schemeClr val="lt1"/>
              </a:solidFill>
              <a:effectLst/>
              <a:latin typeface="+mn-lt"/>
              <a:ea typeface="+mn-ea"/>
              <a:cs typeface="+mn-cs"/>
            </a:rPr>
            <a:t>- The IPE is used to perform procedures to address a risk of material misstatement that is a significant risk. </a:t>
          </a:r>
        </a:p>
        <a:p>
          <a:pPr lvl="0" algn="l"/>
          <a:r>
            <a:rPr lang="en-US" sz="800" baseline="0">
              <a:solidFill>
                <a:schemeClr val="lt1"/>
              </a:solidFill>
              <a:effectLst/>
              <a:latin typeface="+mn-lt"/>
              <a:ea typeface="+mn-ea"/>
              <a:cs typeface="+mn-cs"/>
            </a:rPr>
            <a:t>- The IPE is system-generated or manually prepared. </a:t>
          </a:r>
        </a:p>
        <a:p>
          <a:pPr lvl="0" algn="l"/>
          <a:r>
            <a:rPr lang="en-US" sz="800" baseline="0">
              <a:solidFill>
                <a:schemeClr val="lt1"/>
              </a:solidFill>
              <a:effectLst/>
              <a:latin typeface="+mn-lt"/>
              <a:ea typeface="+mn-ea"/>
              <a:cs typeface="+mn-cs"/>
            </a:rPr>
            <a:t>- The IPE is subject to effective general IT controls. </a:t>
          </a:r>
        </a:p>
        <a:p>
          <a:pPr lvl="0" algn="l"/>
          <a:r>
            <a:rPr lang="en-US" sz="800" baseline="0">
              <a:solidFill>
                <a:schemeClr val="lt1"/>
              </a:solidFill>
              <a:effectLst/>
              <a:latin typeface="+mn-lt"/>
              <a:ea typeface="+mn-ea"/>
              <a:cs typeface="+mn-cs"/>
            </a:rPr>
            <a:t>- Significant judgment is involved in the preparation of the IPE. </a:t>
          </a:r>
        </a:p>
        <a:p>
          <a:pPr lvl="0" algn="l"/>
          <a:endParaRPr lang="en-US" sz="800" baseline="0">
            <a:solidFill>
              <a:schemeClr val="lt1"/>
            </a:solidFill>
            <a:effectLst/>
            <a:latin typeface="+mn-lt"/>
            <a:ea typeface="+mn-ea"/>
            <a:cs typeface="+mn-cs"/>
          </a:endParaRPr>
        </a:p>
        <a:p>
          <a:pPr lvl="0" algn="l"/>
          <a:r>
            <a:rPr lang="en-US" sz="800" baseline="0">
              <a:solidFill>
                <a:schemeClr val="lt1"/>
              </a:solidFill>
              <a:effectLst/>
              <a:latin typeface="+mn-lt"/>
              <a:ea typeface="+mn-ea"/>
              <a:cs typeface="+mn-cs"/>
            </a:rPr>
            <a:t>Engagements teams can refer to the </a:t>
          </a:r>
          <a:r>
            <a:rPr lang="en-US" sz="800" i="1" baseline="0">
              <a:solidFill>
                <a:schemeClr val="lt1"/>
              </a:solidFill>
              <a:effectLst/>
              <a:latin typeface="+mn-lt"/>
              <a:ea typeface="+mn-ea"/>
              <a:cs typeface="+mn-cs"/>
            </a:rPr>
            <a:t>Information Produced by the Entity Guide</a:t>
          </a:r>
          <a:r>
            <a:rPr lang="en-US" sz="800" i="0" baseline="0">
              <a:solidFill>
                <a:schemeClr val="lt1"/>
              </a:solidFill>
              <a:effectLst/>
              <a:latin typeface="+mn-lt"/>
              <a:ea typeface="+mn-ea"/>
              <a:cs typeface="+mn-cs"/>
            </a:rPr>
            <a:t> for further guidance.</a:t>
          </a:r>
          <a:endParaRPr lang="en-US" sz="800" i="1" baseline="0">
            <a:solidFill>
              <a:schemeClr val="lt1"/>
            </a:solidFill>
            <a:effectLst/>
            <a:latin typeface="+mn-lt"/>
            <a:ea typeface="+mn-ea"/>
            <a:cs typeface="+mn-cs"/>
          </a:endParaRPr>
        </a:p>
      </xdr:txBody>
    </xdr:sp>
    <xdr:clientData/>
  </xdr:twoCellAnchor>
  <xdr:twoCellAnchor>
    <xdr:from>
      <xdr:col>2</xdr:col>
      <xdr:colOff>1104900</xdr:colOff>
      <xdr:row>8</xdr:row>
      <xdr:rowOff>2232660</xdr:rowOff>
    </xdr:from>
    <xdr:to>
      <xdr:col>9</xdr:col>
      <xdr:colOff>0</xdr:colOff>
      <xdr:row>23</xdr:row>
      <xdr:rowOff>22860</xdr:rowOff>
    </xdr:to>
    <xdr:sp macro="" textlink="">
      <xdr:nvSpPr>
        <xdr:cNvPr id="5" name="Rounded Rectangular Callout 7">
          <a:extLst>
            <a:ext uri="{FF2B5EF4-FFF2-40B4-BE49-F238E27FC236}">
              <a16:creationId xmlns:a16="http://schemas.microsoft.com/office/drawing/2014/main" id="{96F2F211-D532-4C1B-B80B-7F7C0086F9B4}"/>
            </a:ext>
          </a:extLst>
        </xdr:cNvPr>
        <xdr:cNvSpPr/>
      </xdr:nvSpPr>
      <xdr:spPr>
        <a:xfrm>
          <a:off x="1844040" y="3703320"/>
          <a:ext cx="4450080" cy="2171700"/>
        </a:xfrm>
        <a:prstGeom prst="wedgeRoundRectCallout">
          <a:avLst>
            <a:gd name="adj1" fmla="val -13508"/>
            <a:gd name="adj2" fmla="val -55052"/>
            <a:gd name="adj3" fmla="val 16667"/>
          </a:avLst>
        </a:prstGeom>
        <a:solidFill>
          <a:srgbClr val="86BC25"/>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a:r>
            <a:rPr lang="en-US" sz="800">
              <a:solidFill>
                <a:schemeClr val="lt1"/>
              </a:solidFill>
              <a:effectLst/>
              <a:latin typeface="+mn-lt"/>
              <a:ea typeface="+mn-ea"/>
              <a:cs typeface="+mn-cs"/>
            </a:rPr>
            <a:t>Call-Out Comment: When developing a nonstatistical SAP expectation using current-year data (e.g., rate multiplied by volume), consider the significance of the data to the objective of your test when designing the nature and extent of your testing procedures on that data.  In particular, consider whether the reliability (i.e., accuracy and completeness) of that data is critical to the conclusions reached regarding the ability of the nonstatistical SAP to address ROMMs related to assertions other than accuracy (e.g., occurrence, completeness). In such situations it may be more appropriate to test the controls over the data and/or increase the extent of testing on the data.</a:t>
          </a:r>
        </a:p>
        <a:p>
          <a:pPr lvl="0"/>
          <a:r>
            <a:rPr lang="en-US" sz="800">
              <a:solidFill>
                <a:schemeClr val="lt1"/>
              </a:solidFill>
              <a:effectLst/>
              <a:latin typeface="+mn-lt"/>
              <a:ea typeface="+mn-ea"/>
              <a:cs typeface="+mn-cs"/>
            </a:rPr>
            <a:t> </a:t>
          </a:r>
        </a:p>
        <a:p>
          <a:pPr lvl="0"/>
          <a:r>
            <a:rPr lang="en-US" sz="800">
              <a:solidFill>
                <a:schemeClr val="lt1"/>
              </a:solidFill>
              <a:effectLst/>
              <a:latin typeface="+mn-lt"/>
              <a:ea typeface="+mn-ea"/>
              <a:cs typeface="+mn-cs"/>
            </a:rPr>
            <a:t>When using a statistical SAP (i.e., Reveal), we still test the reliability of the data; however, the extent of testing may be less because a statistical SAP generally addresses all assertions based on the use of historical data and projections made.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264340</xdr:colOff>
      <xdr:row>14</xdr:row>
      <xdr:rowOff>81642</xdr:rowOff>
    </xdr:from>
    <xdr:to>
      <xdr:col>13</xdr:col>
      <xdr:colOff>69758</xdr:colOff>
      <xdr:row>25</xdr:row>
      <xdr:rowOff>403860</xdr:rowOff>
    </xdr:to>
    <xdr:sp macro="" textlink="">
      <xdr:nvSpPr>
        <xdr:cNvPr id="4" name="Rounded Rectangular Callout 3">
          <a:extLst>
            <a:ext uri="{FF2B5EF4-FFF2-40B4-BE49-F238E27FC236}">
              <a16:creationId xmlns:a16="http://schemas.microsoft.com/office/drawing/2014/main" id="{00000000-0008-0000-0900-000004000000}"/>
            </a:ext>
          </a:extLst>
        </xdr:cNvPr>
        <xdr:cNvSpPr/>
      </xdr:nvSpPr>
      <xdr:spPr>
        <a:xfrm>
          <a:off x="9675040" y="1986642"/>
          <a:ext cx="5939518" cy="3606438"/>
        </a:xfrm>
        <a:prstGeom prst="wedgeRoundRectCallout">
          <a:avLst>
            <a:gd name="adj1" fmla="val -57243"/>
            <a:gd name="adj2" fmla="val -8553"/>
            <a:gd name="adj3" fmla="val 16667"/>
          </a:avLst>
        </a:prstGeom>
        <a:solidFill>
          <a:srgbClr val="86BC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0">
              <a:latin typeface="Verdana" panose="020B0604030504040204" pitchFamily="34" charset="0"/>
              <a:ea typeface="Verdana" panose="020B0604030504040204" pitchFamily="34" charset="0"/>
              <a:cs typeface="Verdana" panose="020B0604030504040204" pitchFamily="34" charset="0"/>
            </a:rPr>
            <a:t>Call-Out Comment: </a:t>
          </a:r>
        </a:p>
        <a:p>
          <a:pPr eaLnBrk="1" fontAlgn="auto" latinLnBrk="0" hangingPunct="1"/>
          <a:r>
            <a:rPr lang="en-US" sz="800" baseline="0">
              <a:solidFill>
                <a:schemeClr val="lt1"/>
              </a:solidFill>
              <a:effectLst/>
              <a:latin typeface="Verdana" panose="020B0604030504040204" pitchFamily="34" charset="0"/>
              <a:ea typeface="Verdana" panose="020B0604030504040204" pitchFamily="34" charset="0"/>
              <a:cs typeface="Verdana" panose="020B0604030504040204" pitchFamily="34" charset="0"/>
            </a:rPr>
            <a:t>This is an example provided for testing payroll expense for which prior-year payroll expense is used as our base expectation with adjustments included for increases in compensation (measured as a percentage increase from prior year) and change in headcount (measured as a monthly average change in headcount year over year) to develop an expectation for current-year payroll expense. This relationship will often provide a sufficiently precise expectation, absent other factors that may impact payroll expense. If this relationship does not provide a sufficiently precise expectation, consider adding or removing adjustment factors and perform IPE testing as necessary. By inputting the factors in the table, the expectation will be automatically calculated as follows.</a:t>
          </a:r>
        </a:p>
        <a:p>
          <a:pPr algn="l"/>
          <a:endParaRPr lang="en-US" sz="800" b="0" baseline="0">
            <a:latin typeface="Verdana" panose="020B0604030504040204" pitchFamily="34" charset="0"/>
            <a:ea typeface="Verdana" panose="020B0604030504040204" pitchFamily="34" charset="0"/>
            <a:cs typeface="Verdana" panose="020B0604030504040204" pitchFamily="34" charset="0"/>
          </a:endParaRPr>
        </a:p>
        <a:p>
          <a:pPr algn="l"/>
          <a:r>
            <a:rPr lang="en-US" sz="800" b="1" u="sng" baseline="0">
              <a:latin typeface="Verdana" panose="020B0604030504040204" pitchFamily="34" charset="0"/>
              <a:ea typeface="Verdana" panose="020B0604030504040204" pitchFamily="34" charset="0"/>
              <a:cs typeface="Verdana" panose="020B0604030504040204" pitchFamily="34" charset="0"/>
            </a:rPr>
            <a:t>Explanation of the Named Items: </a:t>
          </a:r>
        </a:p>
        <a:p>
          <a:pPr algn="l"/>
          <a:r>
            <a:rPr lang="en-US" sz="800" b="1" baseline="0">
              <a:latin typeface="Verdana" panose="020B0604030504040204" pitchFamily="34" charset="0"/>
              <a:ea typeface="Verdana" panose="020B0604030504040204" pitchFamily="34" charset="0"/>
              <a:cs typeface="Verdana" panose="020B0604030504040204" pitchFamily="34" charset="0"/>
            </a:rPr>
            <a:t>- Inflation/Pay Increase in Which Month? (PY/CY) &amp; Percentage Inflation/Pay Increase (PY/CY)</a:t>
          </a:r>
        </a:p>
        <a:p>
          <a:pPr algn="l"/>
          <a:r>
            <a:rPr lang="en-US" sz="800" b="0" baseline="0">
              <a:latin typeface="Verdana" panose="020B0604030504040204" pitchFamily="34" charset="0"/>
              <a:ea typeface="Verdana" panose="020B0604030504040204" pitchFamily="34" charset="0"/>
              <a:cs typeface="Verdana" panose="020B0604030504040204" pitchFamily="34" charset="0"/>
            </a:rPr>
            <a:t>Populate the % of pay increase and specify the corresponding month in which the pay increase was effective. </a:t>
          </a:r>
        </a:p>
        <a:p>
          <a:pPr algn="l"/>
          <a:endParaRPr lang="en-US" sz="800" b="0" baseline="0">
            <a:latin typeface="Verdana" panose="020B0604030504040204" pitchFamily="34" charset="0"/>
            <a:ea typeface="Verdana" panose="020B0604030504040204" pitchFamily="34" charset="0"/>
            <a:cs typeface="Verdana" panose="020B0604030504040204" pitchFamily="34" charset="0"/>
          </a:endParaRPr>
        </a:p>
        <a:p>
          <a:pPr algn="l"/>
          <a:r>
            <a:rPr lang="en-US" sz="800" b="1" baseline="0">
              <a:latin typeface="Verdana" panose="020B0604030504040204" pitchFamily="34" charset="0"/>
              <a:ea typeface="Verdana" panose="020B0604030504040204" pitchFamily="34" charset="0"/>
              <a:cs typeface="Verdana" panose="020B0604030504040204" pitchFamily="34" charset="0"/>
            </a:rPr>
            <a:t>- Average Increase (in %)  in Salary per Year</a:t>
          </a:r>
        </a:p>
        <a:p>
          <a:pPr algn="l"/>
          <a:r>
            <a:rPr lang="en-US" sz="800" b="0" baseline="0">
              <a:latin typeface="Verdana" panose="020B0604030504040204" pitchFamily="34" charset="0"/>
              <a:ea typeface="Verdana" panose="020B0604030504040204" pitchFamily="34" charset="0"/>
              <a:cs typeface="Verdana" panose="020B0604030504040204" pitchFamily="34" charset="0"/>
            </a:rPr>
            <a:t>In situations where there is no standard increase applicable to all the employees in the year, teams to consider using an average increase (composite of all employees) for the whole entity, or an inflationary measure or other adjustment factor that would provide a sufficiently reliable expectation.</a:t>
          </a:r>
        </a:p>
        <a:p>
          <a:pPr algn="l"/>
          <a:r>
            <a:rPr lang="en-US" sz="800" b="0" baseline="0">
              <a:latin typeface="Verdana" panose="020B0604030504040204" pitchFamily="34" charset="0"/>
              <a:ea typeface="Verdana" panose="020B0604030504040204" pitchFamily="34" charset="0"/>
              <a:cs typeface="Verdana" panose="020B0604030504040204" pitchFamily="34" charset="0"/>
            </a:rPr>
            <a:t>	</a:t>
          </a:r>
        </a:p>
        <a:p>
          <a:pPr algn="l"/>
          <a:r>
            <a:rPr lang="en-US" sz="800" b="0" baseline="0">
              <a:latin typeface="Verdana" panose="020B0604030504040204" pitchFamily="34" charset="0"/>
              <a:ea typeface="Verdana" panose="020B0604030504040204" pitchFamily="34" charset="0"/>
              <a:cs typeface="Verdana" panose="020B0604030504040204" pitchFamily="34" charset="0"/>
            </a:rPr>
            <a:t>- </a:t>
          </a:r>
          <a:r>
            <a:rPr lang="en-US" sz="800" b="1" baseline="0">
              <a:latin typeface="Verdana" panose="020B0604030504040204" pitchFamily="34" charset="0"/>
              <a:ea typeface="Verdana" panose="020B0604030504040204" pitchFamily="34" charset="0"/>
              <a:cs typeface="Verdana" panose="020B0604030504040204" pitchFamily="34" charset="0"/>
            </a:rPr>
            <a:t>Variable Compensation (e.g., Bonus and Commission) (PY/CY)	</a:t>
          </a:r>
        </a:p>
        <a:p>
          <a:pPr algn="l"/>
          <a:r>
            <a:rPr lang="en-US" sz="800" b="0" baseline="0">
              <a:latin typeface="Verdana" panose="020B0604030504040204" pitchFamily="34" charset="0"/>
              <a:ea typeface="Verdana" panose="020B0604030504040204" pitchFamily="34" charset="0"/>
              <a:cs typeface="Verdana" panose="020B0604030504040204" pitchFamily="34" charset="0"/>
            </a:rPr>
            <a:t>As an example, variable compensations were included because those can vary over time. In this cell, teams are encouraged to include the amount of variable compensation (e.g., bonus, commissions). </a:t>
          </a:r>
        </a:p>
      </xdr:txBody>
    </xdr:sp>
    <xdr:clientData/>
  </xdr:twoCellAnchor>
  <xdr:twoCellAnchor>
    <xdr:from>
      <xdr:col>10</xdr:col>
      <xdr:colOff>282427</xdr:colOff>
      <xdr:row>25</xdr:row>
      <xdr:rowOff>459014</xdr:rowOff>
    </xdr:from>
    <xdr:to>
      <xdr:col>15</xdr:col>
      <xdr:colOff>429080</xdr:colOff>
      <xdr:row>29</xdr:row>
      <xdr:rowOff>119137</xdr:rowOff>
    </xdr:to>
    <xdr:sp macro="" textlink="">
      <xdr:nvSpPr>
        <xdr:cNvPr id="5" name="Rounded Rectangular Callout 4">
          <a:extLst>
            <a:ext uri="{FF2B5EF4-FFF2-40B4-BE49-F238E27FC236}">
              <a16:creationId xmlns:a16="http://schemas.microsoft.com/office/drawing/2014/main" id="{00000000-0008-0000-0900-000005000000}"/>
            </a:ext>
          </a:extLst>
        </xdr:cNvPr>
        <xdr:cNvSpPr/>
      </xdr:nvSpPr>
      <xdr:spPr>
        <a:xfrm>
          <a:off x="13432370" y="6163128"/>
          <a:ext cx="4315881" cy="901095"/>
        </a:xfrm>
        <a:prstGeom prst="wedgeRoundRectCallout">
          <a:avLst>
            <a:gd name="adj1" fmla="val -55148"/>
            <a:gd name="adj2" fmla="val 24549"/>
            <a:gd name="adj3" fmla="val 16667"/>
          </a:avLst>
        </a:prstGeom>
        <a:solidFill>
          <a:srgbClr val="86BC2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0">
              <a:latin typeface="Verdana" panose="020B0604030504040204" pitchFamily="34" charset="0"/>
              <a:ea typeface="Verdana" panose="020B0604030504040204" pitchFamily="34" charset="0"/>
              <a:cs typeface="Verdana" panose="020B0604030504040204" pitchFamily="34" charset="0"/>
            </a:rPr>
            <a:t>Call-Out Comment: The columns</a:t>
          </a:r>
          <a:r>
            <a:rPr lang="en-US" sz="800" b="0" baseline="0">
              <a:latin typeface="Verdana" panose="020B0604030504040204" pitchFamily="34" charset="0"/>
              <a:ea typeface="Verdana" panose="020B0604030504040204" pitchFamily="34" charset="0"/>
              <a:cs typeface="Verdana" panose="020B0604030504040204" pitchFamily="34" charset="0"/>
            </a:rPr>
            <a:t> G-J are automatically calculated based on the information </a:t>
          </a:r>
          <a:r>
            <a:rPr lang="en-US" sz="800" b="0" baseline="0">
              <a:solidFill>
                <a:schemeClr val="bg1"/>
              </a:solidFill>
              <a:latin typeface="Verdana" panose="020B0604030504040204" pitchFamily="34" charset="0"/>
              <a:ea typeface="Verdana" panose="020B0604030504040204" pitchFamily="34" charset="0"/>
              <a:cs typeface="Verdana" panose="020B0604030504040204" pitchFamily="34" charset="0"/>
            </a:rPr>
            <a:t>input in row 20 to 29 and the </a:t>
          </a:r>
          <a:r>
            <a:rPr lang="en-US" sz="800" b="0" baseline="0">
              <a:latin typeface="Verdana" panose="020B0604030504040204" pitchFamily="34" charset="0"/>
              <a:ea typeface="Verdana" panose="020B0604030504040204" pitchFamily="34" charset="0"/>
              <a:cs typeface="Verdana" panose="020B0604030504040204" pitchFamily="34" charset="0"/>
            </a:rPr>
            <a:t>headcount information captured in this table. These calculations are the basis for the expectations for each disaggregated part and factor in expected increases or decreases related to headcount and pay increases. </a:t>
          </a:r>
          <a:endParaRPr lang="en-US" sz="800" b="0">
            <a:latin typeface="Verdana" panose="020B0604030504040204" pitchFamily="34" charset="0"/>
            <a:ea typeface="Verdana" panose="020B0604030504040204" pitchFamily="34" charset="0"/>
            <a:cs typeface="Verdana" panose="020B0604030504040204" pitchFamily="34" charset="0"/>
          </a:endParaRPr>
        </a:p>
        <a:p>
          <a:pPr algn="l"/>
          <a:endParaRPr lang="en-US" sz="800" b="0">
            <a:latin typeface="Verdana" panose="020B0604030504040204" pitchFamily="34" charset="0"/>
            <a:ea typeface="Verdana" panose="020B0604030504040204" pitchFamily="34" charset="0"/>
            <a:cs typeface="Verdana" panose="020B0604030504040204" pitchFamily="34" charset="0"/>
          </a:endParaRPr>
        </a:p>
      </xdr:txBody>
    </xdr:sp>
    <xdr:clientData/>
  </xdr:twoCellAnchor>
  <xdr:twoCellAnchor>
    <xdr:from>
      <xdr:col>7</xdr:col>
      <xdr:colOff>453934</xdr:colOff>
      <xdr:row>2</xdr:row>
      <xdr:rowOff>33746</xdr:rowOff>
    </xdr:from>
    <xdr:to>
      <xdr:col>11</xdr:col>
      <xdr:colOff>14</xdr:colOff>
      <xdr:row>14</xdr:row>
      <xdr:rowOff>15240</xdr:rowOff>
    </xdr:to>
    <xdr:sp macro="" textlink="">
      <xdr:nvSpPr>
        <xdr:cNvPr id="16" name="Rounded Rectangular Callout 7">
          <a:extLst>
            <a:ext uri="{FF2B5EF4-FFF2-40B4-BE49-F238E27FC236}">
              <a16:creationId xmlns:a16="http://schemas.microsoft.com/office/drawing/2014/main" id="{E257EC38-7751-44E6-AACB-CA4B92D4D5B0}"/>
            </a:ext>
          </a:extLst>
        </xdr:cNvPr>
        <xdr:cNvSpPr/>
      </xdr:nvSpPr>
      <xdr:spPr>
        <a:xfrm>
          <a:off x="10146574" y="292826"/>
          <a:ext cx="4201900" cy="1581694"/>
        </a:xfrm>
        <a:prstGeom prst="wedgeRoundRectCallout">
          <a:avLst>
            <a:gd name="adj1" fmla="val -62333"/>
            <a:gd name="adj2" fmla="val -122"/>
            <a:gd name="adj3" fmla="val 16667"/>
          </a:avLst>
        </a:prstGeom>
        <a:solidFill>
          <a:srgbClr val="86BC25"/>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800">
              <a:solidFill>
                <a:schemeClr val="lt1"/>
              </a:solidFill>
              <a:effectLst/>
              <a:latin typeface="+mn-lt"/>
              <a:ea typeface="+mn-ea"/>
              <a:cs typeface="+mn-cs"/>
            </a:rPr>
            <a:t>Call-Out Comment:</a:t>
          </a:r>
          <a:r>
            <a:rPr lang="en-US" sz="800" baseline="0">
              <a:solidFill>
                <a:schemeClr val="lt1"/>
              </a:solidFill>
              <a:effectLst/>
              <a:latin typeface="+mn-lt"/>
              <a:ea typeface="+mn-ea"/>
              <a:cs typeface="+mn-cs"/>
            </a:rPr>
            <a:t> </a:t>
          </a:r>
          <a:r>
            <a:rPr lang="en-US" sz="800">
              <a:solidFill>
                <a:schemeClr val="lt1"/>
              </a:solidFill>
              <a:effectLst/>
              <a:latin typeface="+mn-lt"/>
              <a:ea typeface="+mn-ea"/>
              <a:cs typeface="+mn-cs"/>
            </a:rPr>
            <a:t>The</a:t>
          </a:r>
          <a:r>
            <a:rPr lang="en-US" sz="800" baseline="0">
              <a:solidFill>
                <a:schemeClr val="lt1"/>
              </a:solidFill>
              <a:effectLst/>
              <a:latin typeface="+mn-lt"/>
              <a:ea typeface="+mn-ea"/>
              <a:cs typeface="+mn-cs"/>
            </a:rPr>
            <a:t> "Appendix for Expectation" tab can be used to perform complex calculations, the results of which are then used as inputs into the expectation tabs. </a:t>
          </a:r>
        </a:p>
        <a:p>
          <a:pPr marL="0" marR="0" lvl="0" indent="0" defTabSz="914400" eaLnBrk="1" fontAlgn="auto" latinLnBrk="0" hangingPunct="1">
            <a:lnSpc>
              <a:spcPct val="100000"/>
            </a:lnSpc>
            <a:spcBef>
              <a:spcPts val="0"/>
            </a:spcBef>
            <a:spcAft>
              <a:spcPts val="0"/>
            </a:spcAft>
            <a:buClrTx/>
            <a:buSzTx/>
            <a:buFontTx/>
            <a:buNone/>
            <a:tabLst/>
            <a:defRPr/>
          </a:pPr>
          <a:r>
            <a:rPr lang="en-US" sz="800" baseline="0">
              <a:solidFill>
                <a:schemeClr val="lt1"/>
              </a:solidFill>
              <a:effectLst/>
              <a:latin typeface="+mn-lt"/>
              <a:ea typeface="+mn-ea"/>
              <a:cs typeface="+mn-cs"/>
            </a:rPr>
            <a:t>The "Appendix for Expectation" tab can be duplicated as needed depending on the number of calculations and categorizations for testing identified by the engagement team. </a:t>
          </a:r>
        </a:p>
        <a:p>
          <a:pPr marL="0" marR="0" lvl="0" indent="0" defTabSz="914400" eaLnBrk="1" fontAlgn="auto" latinLnBrk="0" hangingPunct="1">
            <a:lnSpc>
              <a:spcPct val="100000"/>
            </a:lnSpc>
            <a:spcBef>
              <a:spcPts val="0"/>
            </a:spcBef>
            <a:spcAft>
              <a:spcPts val="0"/>
            </a:spcAft>
            <a:buClrTx/>
            <a:buSzTx/>
            <a:buFontTx/>
            <a:buNone/>
            <a:tabLst/>
            <a:defRPr/>
          </a:pPr>
          <a:r>
            <a:rPr lang="en-US" sz="800" baseline="0">
              <a:solidFill>
                <a:schemeClr val="lt1"/>
              </a:solidFill>
              <a:effectLst/>
              <a:latin typeface="+mn-lt"/>
              <a:ea typeface="+mn-ea"/>
              <a:cs typeface="+mn-cs"/>
            </a:rPr>
            <a:t>For each calculation, the relevant IPE is evaluated on the "IPE" tab and the calculated value is referenced to the appropriate testing tab (e.g., Disaggregated Part 1 — Step 1 — Develop an Expectation — Inputs into the expectation column). </a:t>
          </a:r>
          <a:endParaRPr lang="en-US" sz="800">
            <a:effectLst/>
          </a:endParaRPr>
        </a:p>
      </xdr:txBody>
    </xdr:sp>
    <xdr:clientData/>
  </xdr:twoCellAnchor>
</xdr:wsDr>
</file>

<file path=xl/theme/theme1.xml><?xml version="1.0" encoding="utf-8"?>
<a:theme xmlns:a="http://schemas.openxmlformats.org/drawingml/2006/main" name="2016_DEL_Theme2">
  <a:themeElements>
    <a:clrScheme name="Deloitte colors">
      <a:dk1>
        <a:sysClr val="windowText" lastClr="000000"/>
      </a:dk1>
      <a:lt1>
        <a:sysClr val="window" lastClr="FFFFFF"/>
      </a:lt1>
      <a:dk2>
        <a:srgbClr val="53565A"/>
      </a:dk2>
      <a:lt2>
        <a:srgbClr val="D0D0CE"/>
      </a:lt2>
      <a:accent1>
        <a:srgbClr val="86BC25"/>
      </a:accent1>
      <a:accent2>
        <a:srgbClr val="046A38"/>
      </a:accent2>
      <a:accent3>
        <a:srgbClr val="62B5E5"/>
      </a:accent3>
      <a:accent4>
        <a:srgbClr val="012169"/>
      </a:accent4>
      <a:accent5>
        <a:srgbClr val="0097A9"/>
      </a:accent5>
      <a:accent6>
        <a:srgbClr val="75787B"/>
      </a:accent6>
      <a:hlink>
        <a:srgbClr val="00A3E0"/>
      </a:hlink>
      <a:folHlink>
        <a:srgbClr val="53565A"/>
      </a:folHlink>
    </a:clrScheme>
    <a:fontScheme name="Deloitte Powerpoint font">
      <a:majorFont>
        <a:latin typeface="Verdana"/>
        <a:ea typeface=""/>
        <a:cs typeface=""/>
      </a:majorFont>
      <a:minorFont>
        <a:latin typeface="Verdan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gray">
        <a:solidFill>
          <a:schemeClr val="accent3"/>
        </a:solidFill>
        <a:ln w="19050" algn="ctr">
          <a:noFill/>
          <a:miter lim="800000"/>
          <a:headEnd/>
          <a:tailEnd/>
        </a:ln>
      </a:spPr>
      <a:bodyPr wrap="square" lIns="88900" tIns="88900" rIns="88900" bIns="88900" rtlCol="0" anchor="ctr"/>
      <a:lstStyle>
        <a:defPPr>
          <a:lnSpc>
            <a:spcPct val="106000"/>
          </a:lnSpc>
          <a:buFont typeface="Wingdings 2" pitchFamily="18" charset="2"/>
          <a:buNone/>
          <a:defRPr sz="1600" b="1" dirty="0" smtClean="0">
            <a:solidFill>
              <a:schemeClr val="bg1"/>
            </a:solidFill>
          </a:defRPr>
        </a:defPPr>
      </a:lstStyle>
    </a:spDef>
    <a:lnDef>
      <a:spPr>
        <a:ln>
          <a:solidFill>
            <a:schemeClr val="tx2"/>
          </a:solidFill>
        </a:ln>
      </a:spPr>
      <a:bodyPr/>
      <a:lstStyle/>
      <a:style>
        <a:lnRef idx="1">
          <a:schemeClr val="accent1"/>
        </a:lnRef>
        <a:fillRef idx="0">
          <a:schemeClr val="accent1"/>
        </a:fillRef>
        <a:effectRef idx="0">
          <a:schemeClr val="accent1"/>
        </a:effectRef>
        <a:fontRef idx="minor">
          <a:schemeClr val="tx1"/>
        </a:fontRef>
      </a:style>
    </a:lnDef>
    <a:txDef>
      <a:spPr>
        <a:noFill/>
      </a:spPr>
      <a:bodyPr wrap="square" lIns="0" tIns="0" rIns="0" bIns="0" rtlCol="0">
        <a:spAutoFit/>
      </a:bodyPr>
      <a:lstStyle>
        <a:defPPr marL="203200" indent="-203200">
          <a:spcBef>
            <a:spcPts val="600"/>
          </a:spcBef>
          <a:buSzPct val="100000"/>
          <a:buFont typeface="Arial"/>
          <a:buChar char="•"/>
          <a:defRPr dirty="0" smtClean="0">
            <a:solidFill>
              <a:srgbClr val="313131"/>
            </a:solidFill>
          </a:defRPr>
        </a:defPPr>
      </a:lstStyle>
    </a:txDef>
  </a:objectDefaults>
  <a:extraClrSchemeLst/>
  <a:custClrLst>
    <a:custClr name="Green 7">
      <a:srgbClr val="2C5234"/>
    </a:custClr>
    <a:custClr name="Green 6">
      <a:srgbClr val="046A38"/>
    </a:custClr>
    <a:custClr name="Green 5">
      <a:srgbClr val="009A44"/>
    </a:custClr>
    <a:custClr name="Green 4">
      <a:srgbClr val="43B02A"/>
    </a:custClr>
    <a:custClr name="Deloitte Green">
      <a:srgbClr val="86BC25"/>
    </a:custClr>
    <a:custClr name="Green 2">
      <a:srgbClr val="C4D600"/>
    </a:custClr>
    <a:custClr name="Green 1">
      <a:srgbClr val="E3E48D"/>
    </a:custClr>
    <a:custClr name="Teal 7">
      <a:srgbClr val="004F59"/>
    </a:custClr>
    <a:custClr name="Teal 6">
      <a:srgbClr val="007680"/>
    </a:custClr>
    <a:custClr name="Teal 5">
      <a:srgbClr val="0097A9"/>
    </a:custClr>
    <a:custClr name="Teal 4">
      <a:srgbClr val="00ABAB"/>
    </a:custClr>
    <a:custClr name="Teal 3">
      <a:srgbClr val="6FC2B4"/>
    </a:custClr>
    <a:custClr name="Teal 2">
      <a:srgbClr val="9DD4CF"/>
    </a:custClr>
    <a:custClr name="Teal 1">
      <a:srgbClr val="DDEFE8"/>
    </a:custClr>
    <a:custClr name="Blue 7">
      <a:srgbClr val="041E42"/>
    </a:custClr>
    <a:custClr name="Blue 6">
      <a:srgbClr val="012169"/>
    </a:custClr>
    <a:custClr name="Blue 5">
      <a:srgbClr val="005587"/>
    </a:custClr>
    <a:custClr name="Blue 4">
      <a:srgbClr val="0076A8"/>
    </a:custClr>
    <a:custClr name="Blue 3">
      <a:srgbClr val="00A3E0"/>
    </a:custClr>
    <a:custClr name="Blue 2">
      <a:srgbClr val="62B5E5"/>
    </a:custClr>
    <a:custClr name="Blue 1">
      <a:srgbClr val="A0DCFF"/>
    </a:custClr>
    <a:custClr name="Cool Gray 11">
      <a:srgbClr val="53565A"/>
    </a:custClr>
    <a:custClr name="Cool Gray 10">
      <a:srgbClr val="63666A"/>
    </a:custClr>
    <a:custClr name="Cool Gray 9">
      <a:srgbClr val="75787B"/>
    </a:custClr>
    <a:custClr name="Cool Gray 7">
      <a:srgbClr val="97999B"/>
    </a:custClr>
    <a:custClr name="Cool Gray 6">
      <a:srgbClr val="A7A8AA"/>
    </a:custClr>
    <a:custClr name="Cool Gray 4">
      <a:srgbClr val="BBBCBC"/>
    </a:custClr>
    <a:custClr name="Cool Gray 2">
      <a:srgbClr val="D0D0CE"/>
    </a:custClr>
    <a:custClr name="White">
      <a:srgbClr val="FFFFFF"/>
    </a:custClr>
    <a:custClr name="Black">
      <a:srgbClr val="000000"/>
    </a:custClr>
    <a:custClr name="Red">
      <a:srgbClr val="DA291C"/>
    </a:custClr>
    <a:custClr name="Orange">
      <a:srgbClr val="ED8B00"/>
    </a:custClr>
    <a:custClr name="Yellow">
      <a:srgbClr val="FFCD00"/>
    </a:custClr>
  </a:custClrLst>
  <a:extLst>
    <a:ext uri="{05A4C25C-085E-4340-85A3-A5531E510DB2}">
      <thm15:themeFamily xmlns:thm15="http://schemas.microsoft.com/office/thememl/2012/main" name="Theme1" id="{356DFC0E-2123-473A-B9A6-C4A046AED4DE}" vid="{1CE52C2F-C0BE-4BD7-AE84-E6E7914AA07E}"/>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4.bin"/><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customProperty" Target="../customProperty8.bin"/><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24"/>
  <sheetViews>
    <sheetView showGridLines="0" tabSelected="1" zoomScaleNormal="100" workbookViewId="0"/>
  </sheetViews>
  <sheetFormatPr defaultColWidth="9.19921875" defaultRowHeight="10.5" x14ac:dyDescent="0.2"/>
  <cols>
    <col min="1" max="1" width="2.19921875" style="5" customWidth="1"/>
    <col min="2" max="2" width="8.19921875" style="5" customWidth="1"/>
    <col min="3" max="3" width="31.296875" style="5" customWidth="1"/>
    <col min="4" max="4" width="25.19921875" style="5" customWidth="1"/>
    <col min="5" max="5" width="52.59765625" style="5" customWidth="1"/>
    <col min="6" max="6" width="21.19921875" style="5" customWidth="1"/>
    <col min="7" max="7" width="18.5" style="5" customWidth="1"/>
    <col min="8" max="16384" width="9.19921875" style="5"/>
  </cols>
  <sheetData>
    <row r="1" spans="1:8" ht="12.75" x14ac:dyDescent="0.2">
      <c r="H1" s="127" t="s">
        <v>250</v>
      </c>
    </row>
    <row r="2" spans="1:8" s="125" customFormat="1" ht="12.75" x14ac:dyDescent="0.2">
      <c r="A2" s="126" t="s">
        <v>223</v>
      </c>
    </row>
    <row r="3" spans="1:8" ht="37.5" customHeight="1" x14ac:dyDescent="0.2">
      <c r="A3" s="132"/>
    </row>
    <row r="4" spans="1:8" x14ac:dyDescent="0.2">
      <c r="B4" s="28"/>
      <c r="C4" s="28"/>
      <c r="D4" s="28"/>
      <c r="E4" s="4" t="s">
        <v>0</v>
      </c>
      <c r="F4" s="28"/>
      <c r="G4" s="28"/>
      <c r="H4" s="28"/>
    </row>
    <row r="5" spans="1:8" x14ac:dyDescent="0.2">
      <c r="B5" s="3" t="s">
        <v>1</v>
      </c>
      <c r="C5" s="124" t="s">
        <v>2</v>
      </c>
      <c r="D5" s="27"/>
      <c r="E5" s="7" t="s">
        <v>3</v>
      </c>
      <c r="F5" s="7" t="s">
        <v>4</v>
      </c>
      <c r="G5" s="7" t="s">
        <v>5</v>
      </c>
      <c r="H5" s="28"/>
    </row>
    <row r="6" spans="1:8" x14ac:dyDescent="0.15">
      <c r="B6" s="6" t="s">
        <v>6</v>
      </c>
      <c r="C6" s="275" t="s">
        <v>7</v>
      </c>
      <c r="D6" s="28"/>
      <c r="E6" s="17">
        <v>0</v>
      </c>
      <c r="F6" s="16">
        <v>0</v>
      </c>
      <c r="G6" s="16">
        <v>0</v>
      </c>
      <c r="H6" s="28"/>
    </row>
    <row r="7" spans="1:8" x14ac:dyDescent="0.2">
      <c r="B7" s="8"/>
      <c r="C7" s="8"/>
      <c r="D7" s="28"/>
      <c r="E7" s="28"/>
      <c r="F7" s="28"/>
      <c r="G7" s="28"/>
      <c r="H7" s="28"/>
    </row>
    <row r="8" spans="1:8" ht="10.15" customHeight="1" x14ac:dyDescent="0.2">
      <c r="B8" s="3"/>
      <c r="C8" s="9" t="s">
        <v>8</v>
      </c>
      <c r="D8" s="279" t="s">
        <v>119</v>
      </c>
      <c r="E8" s="280"/>
      <c r="F8" s="10"/>
      <c r="G8" s="28"/>
      <c r="H8" s="28"/>
    </row>
    <row r="9" spans="1:8" x14ac:dyDescent="0.2">
      <c r="B9" s="3"/>
      <c r="C9" s="9" t="s">
        <v>9</v>
      </c>
      <c r="D9" s="281" t="s">
        <v>10</v>
      </c>
      <c r="E9" s="282"/>
      <c r="F9" s="11"/>
      <c r="G9" s="28"/>
      <c r="H9" s="28"/>
    </row>
    <row r="10" spans="1:8" x14ac:dyDescent="0.2">
      <c r="B10" s="3"/>
      <c r="C10" s="9" t="s">
        <v>11</v>
      </c>
      <c r="D10" s="283" t="s">
        <v>12</v>
      </c>
      <c r="E10" s="284"/>
      <c r="F10" s="10"/>
      <c r="G10" s="28"/>
      <c r="H10" s="28"/>
    </row>
    <row r="11" spans="1:8" x14ac:dyDescent="0.2">
      <c r="B11" s="3"/>
      <c r="C11" s="9" t="s">
        <v>13</v>
      </c>
      <c r="D11" s="285" t="s">
        <v>14</v>
      </c>
      <c r="E11" s="286"/>
      <c r="F11" s="10"/>
      <c r="G11" s="28"/>
      <c r="H11" s="28"/>
    </row>
    <row r="12" spans="1:8" ht="21" x14ac:dyDescent="0.2">
      <c r="B12" s="3"/>
      <c r="C12" s="9" t="s">
        <v>120</v>
      </c>
      <c r="D12" s="281" t="s">
        <v>10</v>
      </c>
      <c r="E12" s="282"/>
      <c r="F12" s="10"/>
      <c r="G12" s="28"/>
      <c r="H12" s="28"/>
    </row>
    <row r="13" spans="1:8" ht="15" customHeight="1" x14ac:dyDescent="0.2">
      <c r="B13" s="3"/>
      <c r="C13" s="28"/>
      <c r="D13" s="13"/>
      <c r="E13" s="13"/>
      <c r="F13" s="13"/>
      <c r="G13" s="28"/>
      <c r="H13" s="28"/>
    </row>
    <row r="14" spans="1:8" ht="15" customHeight="1" x14ac:dyDescent="0.2"/>
    <row r="15" spans="1:8" x14ac:dyDescent="0.2">
      <c r="B15" s="12"/>
      <c r="C15" s="28"/>
      <c r="D15" s="28"/>
      <c r="E15" s="28"/>
      <c r="F15" s="28"/>
      <c r="G15" s="28"/>
      <c r="H15" s="12"/>
    </row>
    <row r="16" spans="1:8" x14ac:dyDescent="0.2">
      <c r="B16" s="12"/>
      <c r="C16" s="12"/>
      <c r="D16" s="12"/>
      <c r="E16" s="12"/>
      <c r="F16" s="12"/>
      <c r="G16" s="12"/>
      <c r="H16" s="12"/>
    </row>
    <row r="17" spans="2:8" x14ac:dyDescent="0.2">
      <c r="B17" s="12"/>
      <c r="C17" s="14" t="s">
        <v>15</v>
      </c>
      <c r="D17" s="14" t="s">
        <v>16</v>
      </c>
      <c r="E17" s="14" t="s">
        <v>17</v>
      </c>
      <c r="F17" s="14" t="s">
        <v>18</v>
      </c>
      <c r="G17" s="14" t="s">
        <v>19</v>
      </c>
      <c r="H17" s="12"/>
    </row>
    <row r="18" spans="2:8" x14ac:dyDescent="0.15">
      <c r="B18" s="12"/>
      <c r="C18" s="18" t="s">
        <v>20</v>
      </c>
      <c r="D18" s="18" t="s">
        <v>20</v>
      </c>
      <c r="E18" s="18" t="s">
        <v>20</v>
      </c>
      <c r="F18" s="135" t="s">
        <v>20</v>
      </c>
      <c r="G18" s="18"/>
      <c r="H18" s="12"/>
    </row>
    <row r="19" spans="2:8" ht="49.15" customHeight="1" x14ac:dyDescent="0.2">
      <c r="B19" s="10"/>
      <c r="C19" s="255" t="s">
        <v>21</v>
      </c>
      <c r="D19" s="256" t="s">
        <v>116</v>
      </c>
      <c r="E19" s="276" t="s">
        <v>225</v>
      </c>
      <c r="F19" s="256" t="s">
        <v>224</v>
      </c>
      <c r="G19" s="257" t="s">
        <v>251</v>
      </c>
      <c r="H19" s="10"/>
    </row>
    <row r="20" spans="2:8" ht="49.15" customHeight="1" x14ac:dyDescent="0.2">
      <c r="B20" s="10"/>
      <c r="C20" s="255" t="s">
        <v>22</v>
      </c>
      <c r="D20" s="256" t="s">
        <v>116</v>
      </c>
      <c r="E20" s="277"/>
      <c r="F20" s="256" t="s">
        <v>224</v>
      </c>
      <c r="G20" s="257" t="s">
        <v>251</v>
      </c>
      <c r="H20" s="10"/>
    </row>
    <row r="21" spans="2:8" ht="49.15" customHeight="1" x14ac:dyDescent="0.2">
      <c r="B21" s="10"/>
      <c r="C21" s="258" t="s">
        <v>23</v>
      </c>
      <c r="D21" s="256" t="s">
        <v>116</v>
      </c>
      <c r="E21" s="277"/>
      <c r="F21" s="256" t="s">
        <v>224</v>
      </c>
      <c r="G21" s="257" t="s">
        <v>251</v>
      </c>
      <c r="H21" s="10"/>
    </row>
    <row r="22" spans="2:8" ht="49.15" customHeight="1" x14ac:dyDescent="0.2">
      <c r="B22" s="10"/>
      <c r="C22" s="258" t="s">
        <v>24</v>
      </c>
      <c r="D22" s="256" t="s">
        <v>116</v>
      </c>
      <c r="E22" s="277"/>
      <c r="F22" s="256" t="s">
        <v>224</v>
      </c>
      <c r="G22" s="257" t="s">
        <v>251</v>
      </c>
      <c r="H22" s="10"/>
    </row>
    <row r="23" spans="2:8" ht="49.15" customHeight="1" x14ac:dyDescent="0.2">
      <c r="B23" s="10"/>
      <c r="C23" s="255" t="s">
        <v>220</v>
      </c>
      <c r="D23" s="256" t="s">
        <v>116</v>
      </c>
      <c r="E23" s="278"/>
      <c r="F23" s="259" t="s">
        <v>224</v>
      </c>
      <c r="G23" s="257" t="s">
        <v>251</v>
      </c>
      <c r="H23" s="10"/>
    </row>
    <row r="24" spans="2:8" x14ac:dyDescent="0.2">
      <c r="B24" s="12"/>
      <c r="C24" s="28"/>
      <c r="D24" s="28"/>
      <c r="E24" s="28"/>
      <c r="F24" s="28"/>
      <c r="G24" s="28"/>
      <c r="H24" s="12"/>
    </row>
  </sheetData>
  <mergeCells count="6">
    <mergeCell ref="E19:E23"/>
    <mergeCell ref="D8:E8"/>
    <mergeCell ref="D9:E9"/>
    <mergeCell ref="D10:E10"/>
    <mergeCell ref="D11:E11"/>
    <mergeCell ref="D12:E12"/>
  </mergeCells>
  <pageMargins left="0.7" right="0.7" top="0.75" bottom="0.75" header="0.3" footer="0.3"/>
  <pageSetup orientation="portrait" r:id="rId1"/>
  <customProperties>
    <customPr name="EpmWorksheetKeyString_GUID" r:id="rId2"/>
  </customProperties>
  <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000-000000000000}">
          <x14:formula1>
            <xm:f>'Parameters (Hide)'!$C$1:$C$3</xm:f>
          </x14:formula1>
          <xm:sqref>D11:E11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H22"/>
  <sheetViews>
    <sheetView showGridLines="0" zoomScaleNormal="100" workbookViewId="0"/>
  </sheetViews>
  <sheetFormatPr defaultColWidth="9.19921875" defaultRowHeight="10.5" x14ac:dyDescent="0.15"/>
  <cols>
    <col min="1" max="1" width="2.19921875" style="47" customWidth="1"/>
    <col min="2" max="2" width="6.59765625" style="30" bestFit="1" customWidth="1"/>
    <col min="3" max="3" width="14.59765625" style="30" bestFit="1" customWidth="1"/>
    <col min="4" max="5" width="17.19921875" style="30" customWidth="1"/>
    <col min="6" max="6" width="16.796875" style="30" customWidth="1"/>
    <col min="7" max="7" width="18.5" style="30" customWidth="1"/>
    <col min="8" max="16384" width="9.19921875" style="30"/>
  </cols>
  <sheetData>
    <row r="2" spans="1:8" x14ac:dyDescent="0.15">
      <c r="A2" s="69"/>
      <c r="B2" s="29"/>
      <c r="C2" s="29"/>
      <c r="D2" s="29"/>
      <c r="E2" s="29"/>
      <c r="F2" s="140" t="s">
        <v>25</v>
      </c>
      <c r="G2" s="25"/>
      <c r="H2" s="29"/>
    </row>
    <row r="3" spans="1:8" x14ac:dyDescent="0.15">
      <c r="B3" s="3" t="s">
        <v>1</v>
      </c>
      <c r="C3" s="141" t="str">
        <f>'0. Summary Tab'!$C$5</f>
        <v>ABC Inc.</v>
      </c>
      <c r="D3" s="32"/>
      <c r="E3" s="32"/>
      <c r="F3" s="32"/>
      <c r="G3" s="32"/>
      <c r="H3" s="29"/>
    </row>
    <row r="4" spans="1:8" x14ac:dyDescent="0.15">
      <c r="B4" s="6" t="s">
        <v>6</v>
      </c>
      <c r="C4" s="275" t="str">
        <f>'0. Summary Tab'!$C$6</f>
        <v>12/31/20XX</v>
      </c>
      <c r="D4" s="32"/>
      <c r="E4" s="32"/>
      <c r="F4" s="32"/>
      <c r="G4" s="32"/>
      <c r="H4" s="29"/>
    </row>
    <row r="5" spans="1:8" x14ac:dyDescent="0.15">
      <c r="B5" s="29"/>
      <c r="C5" s="32"/>
      <c r="D5" s="32"/>
      <c r="E5" s="32"/>
      <c r="F5" s="35"/>
      <c r="G5" s="35"/>
      <c r="H5" s="29"/>
    </row>
    <row r="6" spans="1:8" x14ac:dyDescent="0.15">
      <c r="B6" s="29"/>
      <c r="C6" s="29"/>
      <c r="D6" s="29"/>
      <c r="E6" s="29"/>
      <c r="F6" s="29"/>
      <c r="G6" s="29"/>
      <c r="H6" s="29"/>
    </row>
    <row r="7" spans="1:8" x14ac:dyDescent="0.15">
      <c r="B7" s="247"/>
      <c r="C7" s="247"/>
      <c r="D7" s="247"/>
      <c r="E7" s="247"/>
      <c r="F7" s="247"/>
      <c r="G7" s="247"/>
      <c r="H7" s="247"/>
    </row>
    <row r="8" spans="1:8" x14ac:dyDescent="0.15">
      <c r="B8" s="29"/>
      <c r="C8" s="29"/>
      <c r="D8" s="29"/>
      <c r="E8" s="29"/>
      <c r="F8" s="29"/>
      <c r="G8" s="29"/>
      <c r="H8" s="29"/>
    </row>
    <row r="9" spans="1:8" ht="25.5" customHeight="1" x14ac:dyDescent="0.15">
      <c r="B9" s="29"/>
      <c r="C9" s="246" t="s">
        <v>29</v>
      </c>
      <c r="D9" s="287" t="s">
        <v>246</v>
      </c>
      <c r="E9" s="288"/>
      <c r="F9" s="288"/>
      <c r="G9" s="289"/>
      <c r="H9" s="29"/>
    </row>
    <row r="10" spans="1:8" x14ac:dyDescent="0.15">
      <c r="B10" s="29"/>
      <c r="C10" s="29"/>
      <c r="D10" s="29"/>
      <c r="E10" s="29"/>
      <c r="F10" s="29"/>
      <c r="G10" s="29"/>
      <c r="H10" s="29"/>
    </row>
    <row r="11" spans="1:8" ht="21" x14ac:dyDescent="0.15">
      <c r="B11" s="40"/>
      <c r="C11" s="271" t="s">
        <v>243</v>
      </c>
      <c r="D11" s="272" t="s">
        <v>34</v>
      </c>
      <c r="E11" s="272" t="s">
        <v>35</v>
      </c>
      <c r="F11" s="273" t="s">
        <v>241</v>
      </c>
      <c r="G11" s="274" t="s">
        <v>242</v>
      </c>
      <c r="H11" s="29"/>
    </row>
    <row r="12" spans="1:8" x14ac:dyDescent="0.15">
      <c r="B12" s="40"/>
      <c r="C12" s="270"/>
      <c r="D12" s="261" t="s">
        <v>240</v>
      </c>
      <c r="E12" s="261" t="s">
        <v>240</v>
      </c>
      <c r="F12" s="261" t="s">
        <v>240</v>
      </c>
      <c r="G12" s="262" t="s">
        <v>240</v>
      </c>
      <c r="H12" s="29"/>
    </row>
    <row r="13" spans="1:8" x14ac:dyDescent="0.15">
      <c r="B13" s="40"/>
      <c r="C13" s="260" t="s">
        <v>237</v>
      </c>
      <c r="D13" s="139"/>
      <c r="E13" s="117"/>
      <c r="F13" s="118"/>
      <c r="G13" s="263"/>
      <c r="H13" s="29"/>
    </row>
    <row r="14" spans="1:8" x14ac:dyDescent="0.15">
      <c r="B14" s="40"/>
      <c r="C14" s="260" t="s">
        <v>237</v>
      </c>
      <c r="D14" s="139"/>
      <c r="E14" s="117"/>
      <c r="F14" s="118"/>
      <c r="G14" s="263"/>
      <c r="H14" s="29"/>
    </row>
    <row r="15" spans="1:8" x14ac:dyDescent="0.15">
      <c r="B15" s="40"/>
      <c r="C15" s="260" t="s">
        <v>238</v>
      </c>
      <c r="D15" s="139"/>
      <c r="E15" s="117"/>
      <c r="F15" s="118"/>
      <c r="G15" s="263"/>
      <c r="H15" s="29"/>
    </row>
    <row r="16" spans="1:8" x14ac:dyDescent="0.15">
      <c r="B16" s="40"/>
      <c r="C16" s="260" t="s">
        <v>238</v>
      </c>
      <c r="D16" s="139"/>
      <c r="E16" s="117"/>
      <c r="F16" s="118"/>
      <c r="G16" s="263"/>
      <c r="H16" s="29"/>
    </row>
    <row r="17" spans="2:8" x14ac:dyDescent="0.15">
      <c r="B17" s="40"/>
      <c r="C17" s="260" t="s">
        <v>239</v>
      </c>
      <c r="D17" s="139"/>
      <c r="E17" s="117"/>
      <c r="F17" s="118"/>
      <c r="G17" s="263"/>
      <c r="H17" s="29"/>
    </row>
    <row r="18" spans="2:8" x14ac:dyDescent="0.15">
      <c r="B18" s="40"/>
      <c r="C18" s="260" t="s">
        <v>239</v>
      </c>
      <c r="D18" s="139"/>
      <c r="E18" s="117"/>
      <c r="F18" s="118"/>
      <c r="G18" s="263"/>
      <c r="H18" s="29"/>
    </row>
    <row r="19" spans="2:8" x14ac:dyDescent="0.15">
      <c r="B19" s="40"/>
      <c r="C19" s="260"/>
      <c r="D19" s="139"/>
      <c r="E19" s="117"/>
      <c r="F19" s="118"/>
      <c r="G19" s="263"/>
      <c r="H19" s="29"/>
    </row>
    <row r="20" spans="2:8" ht="11.25" thickBot="1" x14ac:dyDescent="0.2">
      <c r="B20" s="40"/>
      <c r="C20" s="138"/>
      <c r="D20" s="41"/>
      <c r="E20" s="42" t="s">
        <v>36</v>
      </c>
      <c r="F20" s="43">
        <f>SUM(F13:F18)</f>
        <v>0</v>
      </c>
      <c r="G20" s="250">
        <f>SUM(G13:G18)</f>
        <v>0</v>
      </c>
      <c r="H20" s="29"/>
    </row>
    <row r="21" spans="2:8" ht="11.25" thickTop="1" x14ac:dyDescent="0.15">
      <c r="B21" s="40"/>
      <c r="C21" s="44"/>
      <c r="D21" s="45"/>
      <c r="E21" s="46"/>
      <c r="F21" s="45"/>
      <c r="G21" s="264"/>
      <c r="H21" s="29"/>
    </row>
    <row r="22" spans="2:8" x14ac:dyDescent="0.15">
      <c r="B22" s="40"/>
      <c r="C22" s="36"/>
      <c r="D22" s="37"/>
      <c r="E22" s="128"/>
      <c r="F22" s="38"/>
      <c r="G22" s="39"/>
      <c r="H22" s="29"/>
    </row>
  </sheetData>
  <mergeCells count="1">
    <mergeCell ref="D9:G9"/>
  </mergeCells>
  <hyperlinks>
    <hyperlink ref="F2" location="'0. Summary Tab'!A1" display="Click here to return to Summary tab" xr:uid="{00000000-0004-0000-0100-000000000000}"/>
  </hyperlinks>
  <pageMargins left="0.75" right="0.75" top="1" bottom="1" header="0.5" footer="0.5"/>
  <pageSetup paperSize="9" orientation="portrait" r:id="rId1"/>
  <headerFooter alignWithMargins="0"/>
  <customProperties>
    <customPr name="EpmWorksheetKeyString_GUID" r:id="rId2"/>
  </customProperties>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B2:P37"/>
  <sheetViews>
    <sheetView showGridLines="0" zoomScaleNormal="100" workbookViewId="0"/>
  </sheetViews>
  <sheetFormatPr defaultColWidth="8.796875" defaultRowHeight="10.5" x14ac:dyDescent="0.15"/>
  <cols>
    <col min="1" max="1" width="2.19921875" style="33" customWidth="1"/>
    <col min="2" max="2" width="6.69921875" style="33" bestFit="1" customWidth="1"/>
    <col min="3" max="3" width="17.19921875" style="33" customWidth="1"/>
    <col min="4" max="4" width="15.796875" style="33" customWidth="1"/>
    <col min="5" max="5" width="12.796875" style="33" customWidth="1"/>
    <col min="6" max="6" width="13.59765625" style="33" customWidth="1"/>
    <col min="7" max="7" width="14.796875" style="33" bestFit="1" customWidth="1"/>
    <col min="8" max="8" width="13.59765625" style="33" customWidth="1"/>
    <col min="9" max="9" width="8.296875" style="33" customWidth="1"/>
    <col min="10" max="11" width="11" style="33" customWidth="1"/>
    <col min="12" max="12" width="9.796875" style="33" customWidth="1"/>
    <col min="13" max="13" width="14.3984375" style="33" customWidth="1"/>
    <col min="14" max="14" width="16.5" style="33" customWidth="1"/>
    <col min="15" max="15" width="14.3984375" style="33" customWidth="1"/>
    <col min="16" max="16384" width="8.796875" style="33"/>
  </cols>
  <sheetData>
    <row r="2" spans="2:16" x14ac:dyDescent="0.15">
      <c r="B2" s="49"/>
      <c r="C2" s="49"/>
      <c r="D2" s="49"/>
      <c r="E2" s="49"/>
      <c r="F2" s="140" t="s">
        <v>25</v>
      </c>
      <c r="G2" s="49"/>
      <c r="H2" s="49"/>
      <c r="I2" s="49"/>
      <c r="J2" s="49"/>
      <c r="K2" s="49"/>
      <c r="L2" s="49"/>
      <c r="M2" s="49"/>
      <c r="N2" s="49"/>
      <c r="O2" s="49"/>
      <c r="P2" s="49"/>
    </row>
    <row r="3" spans="2:16" x14ac:dyDescent="0.15">
      <c r="B3" s="3" t="s">
        <v>1</v>
      </c>
      <c r="C3" s="141" t="str">
        <f>'0. Summary Tab'!$C$5</f>
        <v>ABC Inc.</v>
      </c>
      <c r="D3" s="49"/>
      <c r="E3" s="49"/>
      <c r="F3" s="145" t="s">
        <v>3</v>
      </c>
      <c r="G3" s="145" t="s">
        <v>4</v>
      </c>
      <c r="H3" s="146" t="s">
        <v>5</v>
      </c>
      <c r="I3" s="49"/>
      <c r="J3" s="49"/>
      <c r="K3" s="49"/>
      <c r="L3" s="49"/>
      <c r="M3" s="49"/>
      <c r="N3" s="49"/>
      <c r="O3" s="49"/>
      <c r="P3" s="49"/>
    </row>
    <row r="4" spans="2:16" x14ac:dyDescent="0.15">
      <c r="B4" s="6" t="s">
        <v>6</v>
      </c>
      <c r="C4" s="275" t="str">
        <f>'0. Summary Tab'!$C$6</f>
        <v>12/31/20XX</v>
      </c>
      <c r="D4" s="49"/>
      <c r="E4" s="49"/>
      <c r="F4" s="142">
        <f>'0. Summary Tab'!$E$6</f>
        <v>0</v>
      </c>
      <c r="G4" s="142">
        <f>'0. Summary Tab'!$F$6</f>
        <v>0</v>
      </c>
      <c r="H4" s="142">
        <f>'0. Summary Tab'!$G$6</f>
        <v>0</v>
      </c>
      <c r="I4" s="49"/>
      <c r="J4" s="49"/>
      <c r="K4" s="49"/>
      <c r="L4" s="49"/>
      <c r="M4" s="49"/>
      <c r="N4" s="49"/>
      <c r="O4" s="49"/>
      <c r="P4" s="49"/>
    </row>
    <row r="5" spans="2:16" x14ac:dyDescent="0.15">
      <c r="B5" s="147"/>
      <c r="C5" s="148"/>
      <c r="D5" s="49"/>
      <c r="E5" s="49"/>
      <c r="F5" s="49"/>
      <c r="G5" s="49"/>
      <c r="H5" s="49"/>
      <c r="I5" s="49"/>
      <c r="J5" s="49"/>
      <c r="K5" s="49"/>
      <c r="L5" s="49"/>
      <c r="M5" s="49"/>
      <c r="N5" s="49"/>
      <c r="O5" s="49"/>
      <c r="P5" s="49"/>
    </row>
    <row r="7" spans="2:16" x14ac:dyDescent="0.15">
      <c r="B7" s="49"/>
      <c r="C7" s="49"/>
      <c r="D7" s="49"/>
      <c r="E7" s="49"/>
      <c r="F7" s="49"/>
      <c r="G7" s="49"/>
      <c r="H7" s="49"/>
      <c r="I7" s="49"/>
      <c r="J7" s="49"/>
      <c r="K7" s="49"/>
      <c r="L7" s="49"/>
      <c r="M7" s="49"/>
      <c r="N7" s="49"/>
      <c r="O7" s="49"/>
      <c r="P7" s="49"/>
    </row>
    <row r="8" spans="2:16" x14ac:dyDescent="0.15">
      <c r="B8" s="49"/>
      <c r="C8" s="307" t="s">
        <v>140</v>
      </c>
      <c r="D8" s="308"/>
      <c r="E8" s="308"/>
      <c r="F8" s="308"/>
      <c r="G8" s="308"/>
      <c r="H8" s="309"/>
      <c r="I8" s="49"/>
      <c r="J8" s="49"/>
      <c r="K8" s="49"/>
      <c r="L8" s="49"/>
      <c r="M8" s="49"/>
      <c r="N8" s="49"/>
      <c r="O8" s="49"/>
      <c r="P8" s="49"/>
    </row>
    <row r="9" spans="2:16" x14ac:dyDescent="0.15">
      <c r="B9" s="49"/>
      <c r="C9" s="310" t="s">
        <v>141</v>
      </c>
      <c r="D9" s="311"/>
      <c r="E9" s="311"/>
      <c r="F9" s="311"/>
      <c r="G9" s="311"/>
      <c r="H9" s="312"/>
      <c r="I9" s="49"/>
      <c r="J9" s="49"/>
      <c r="K9" s="49"/>
      <c r="L9" s="49"/>
      <c r="M9" s="49"/>
      <c r="N9" s="49"/>
      <c r="O9" s="49"/>
      <c r="P9" s="49"/>
    </row>
    <row r="10" spans="2:16" x14ac:dyDescent="0.15">
      <c r="B10" s="49"/>
      <c r="C10" s="313" t="s">
        <v>37</v>
      </c>
      <c r="D10" s="314"/>
      <c r="E10" s="314"/>
      <c r="F10" s="314"/>
      <c r="G10" s="314"/>
      <c r="H10" s="315"/>
      <c r="I10" s="49"/>
      <c r="J10" s="49"/>
      <c r="K10" s="49"/>
      <c r="L10" s="49"/>
      <c r="M10" s="49"/>
      <c r="N10" s="49"/>
      <c r="O10" s="49"/>
      <c r="P10" s="49"/>
    </row>
    <row r="11" spans="2:16" x14ac:dyDescent="0.15">
      <c r="B11" s="49"/>
      <c r="C11" s="313"/>
      <c r="D11" s="314"/>
      <c r="E11" s="314"/>
      <c r="F11" s="314"/>
      <c r="G11" s="314"/>
      <c r="H11" s="315"/>
      <c r="I11" s="49"/>
      <c r="J11" s="49"/>
      <c r="K11" s="49"/>
      <c r="L11" s="49"/>
      <c r="M11" s="49"/>
      <c r="N11" s="49"/>
      <c r="O11" s="49"/>
      <c r="P11" s="49"/>
    </row>
    <row r="12" spans="2:16" x14ac:dyDescent="0.15">
      <c r="B12" s="49"/>
      <c r="C12" s="316" t="s">
        <v>117</v>
      </c>
      <c r="D12" s="317"/>
      <c r="E12" s="317"/>
      <c r="F12" s="317"/>
      <c r="G12" s="317"/>
      <c r="H12" s="318"/>
      <c r="I12" s="49"/>
      <c r="J12" s="49"/>
      <c r="K12" s="49"/>
      <c r="L12" s="49"/>
      <c r="M12" s="49"/>
      <c r="N12" s="49"/>
      <c r="O12" s="49"/>
      <c r="P12" s="49"/>
    </row>
    <row r="13" spans="2:16" ht="13.15" customHeight="1" x14ac:dyDescent="0.15">
      <c r="B13" s="49"/>
      <c r="C13" s="319" t="s">
        <v>142</v>
      </c>
      <c r="D13" s="320"/>
      <c r="E13" s="320"/>
      <c r="F13" s="320"/>
      <c r="G13" s="320"/>
      <c r="H13" s="321"/>
      <c r="I13" s="49"/>
      <c r="J13" s="49"/>
      <c r="K13" s="49"/>
      <c r="L13" s="49"/>
      <c r="M13" s="49"/>
      <c r="N13" s="49"/>
      <c r="O13" s="49"/>
      <c r="P13" s="49"/>
    </row>
    <row r="14" spans="2:16" x14ac:dyDescent="0.15">
      <c r="B14" s="49"/>
      <c r="C14" s="322"/>
      <c r="D14" s="323"/>
      <c r="E14" s="323"/>
      <c r="F14" s="323"/>
      <c r="G14" s="323"/>
      <c r="H14" s="324"/>
      <c r="I14" s="49"/>
      <c r="J14" s="49"/>
      <c r="K14" s="49"/>
      <c r="L14" s="49"/>
      <c r="M14" s="49"/>
      <c r="N14" s="49"/>
      <c r="O14" s="49"/>
      <c r="P14" s="49"/>
    </row>
    <row r="15" spans="2:16" ht="10.15" customHeight="1" x14ac:dyDescent="0.15">
      <c r="B15" s="49"/>
      <c r="C15" s="149"/>
      <c r="D15" s="150"/>
      <c r="E15" s="151"/>
      <c r="F15" s="150"/>
      <c r="G15" s="152"/>
      <c r="H15" s="153"/>
      <c r="I15" s="49"/>
      <c r="J15" s="49"/>
      <c r="K15" s="49"/>
      <c r="L15" s="49"/>
      <c r="M15" s="49"/>
      <c r="N15" s="49"/>
      <c r="O15" s="49"/>
      <c r="P15" s="49"/>
    </row>
    <row r="16" spans="2:16" x14ac:dyDescent="0.15">
      <c r="B16" s="49"/>
      <c r="C16" s="304" t="s">
        <v>143</v>
      </c>
      <c r="D16" s="305"/>
      <c r="E16" s="305"/>
      <c r="F16" s="305"/>
      <c r="G16" s="305"/>
      <c r="H16" s="306"/>
      <c r="I16" s="49"/>
      <c r="J16" s="49"/>
      <c r="K16" s="49"/>
      <c r="L16" s="49"/>
      <c r="M16" s="49"/>
      <c r="N16" s="49"/>
      <c r="O16" s="49"/>
      <c r="P16" s="49"/>
    </row>
    <row r="17" spans="2:16" ht="10.5" customHeight="1" x14ac:dyDescent="0.15">
      <c r="B17" s="49"/>
      <c r="C17" s="293" t="s">
        <v>144</v>
      </c>
      <c r="D17" s="294"/>
      <c r="E17" s="294"/>
      <c r="F17" s="294"/>
      <c r="G17" s="294"/>
      <c r="H17" s="295"/>
      <c r="I17" s="49"/>
      <c r="J17" s="49"/>
      <c r="K17" s="49"/>
      <c r="L17" s="49"/>
      <c r="M17" s="49"/>
      <c r="N17" s="49"/>
      <c r="O17" s="49"/>
      <c r="P17" s="49"/>
    </row>
    <row r="18" spans="2:16" ht="18.75" customHeight="1" x14ac:dyDescent="0.15">
      <c r="B18" s="49"/>
      <c r="C18" s="296" t="s">
        <v>226</v>
      </c>
      <c r="D18" s="297"/>
      <c r="E18" s="297"/>
      <c r="F18" s="297"/>
      <c r="G18" s="297"/>
      <c r="H18" s="298"/>
      <c r="I18" s="49"/>
      <c r="J18" s="49"/>
      <c r="K18" s="49"/>
      <c r="L18" s="49"/>
      <c r="M18" s="49"/>
      <c r="N18" s="49"/>
      <c r="O18" s="49"/>
      <c r="P18" s="49"/>
    </row>
    <row r="19" spans="2:16" ht="18.75" customHeight="1" x14ac:dyDescent="0.15">
      <c r="B19" s="49"/>
      <c r="C19" s="296"/>
      <c r="D19" s="297"/>
      <c r="E19" s="297"/>
      <c r="F19" s="297"/>
      <c r="G19" s="297"/>
      <c r="H19" s="298"/>
      <c r="I19" s="49"/>
      <c r="J19" s="49"/>
      <c r="K19" s="49"/>
      <c r="L19" s="49"/>
      <c r="M19" s="49"/>
      <c r="N19" s="49"/>
      <c r="O19" s="49"/>
      <c r="P19" s="49"/>
    </row>
    <row r="20" spans="2:16" ht="18.75" customHeight="1" x14ac:dyDescent="0.15">
      <c r="B20" s="49"/>
      <c r="C20" s="296"/>
      <c r="D20" s="297"/>
      <c r="E20" s="297"/>
      <c r="F20" s="297"/>
      <c r="G20" s="297"/>
      <c r="H20" s="298"/>
      <c r="I20" s="49"/>
      <c r="J20" s="49"/>
      <c r="K20" s="49"/>
      <c r="L20" s="49"/>
      <c r="M20" s="49"/>
      <c r="N20" s="49"/>
      <c r="O20" s="49"/>
      <c r="P20" s="49"/>
    </row>
    <row r="21" spans="2:16" ht="18.75" customHeight="1" x14ac:dyDescent="0.15">
      <c r="B21" s="49"/>
      <c r="C21" s="296"/>
      <c r="D21" s="297"/>
      <c r="E21" s="297"/>
      <c r="F21" s="297"/>
      <c r="G21" s="297"/>
      <c r="H21" s="298"/>
      <c r="I21" s="49"/>
      <c r="J21" s="49"/>
      <c r="K21" s="49"/>
      <c r="L21" s="49"/>
      <c r="M21" s="49"/>
      <c r="N21" s="49"/>
      <c r="O21" s="49"/>
      <c r="P21" s="49"/>
    </row>
    <row r="22" spans="2:16" ht="18.75" customHeight="1" x14ac:dyDescent="0.15">
      <c r="B22" s="49"/>
      <c r="C22" s="299"/>
      <c r="D22" s="300"/>
      <c r="E22" s="300"/>
      <c r="F22" s="300"/>
      <c r="G22" s="300"/>
      <c r="H22" s="301"/>
      <c r="I22" s="49"/>
      <c r="J22" s="49"/>
      <c r="K22" s="49"/>
      <c r="L22" s="49"/>
      <c r="M22" s="49"/>
      <c r="N22" s="49"/>
      <c r="O22" s="49"/>
      <c r="P22" s="49"/>
    </row>
    <row r="23" spans="2:16" x14ac:dyDescent="0.15">
      <c r="B23" s="49"/>
      <c r="C23" s="49"/>
      <c r="D23" s="49"/>
      <c r="E23" s="49"/>
      <c r="F23" s="49"/>
      <c r="G23" s="49"/>
      <c r="H23" s="49"/>
      <c r="I23" s="49"/>
      <c r="J23" s="49"/>
      <c r="K23" s="49"/>
      <c r="L23" s="49"/>
      <c r="M23" s="49"/>
      <c r="N23" s="49"/>
      <c r="O23" s="49"/>
      <c r="P23" s="49"/>
    </row>
    <row r="25" spans="2:16" x14ac:dyDescent="0.15">
      <c r="B25" s="154"/>
      <c r="C25" s="154"/>
      <c r="D25" s="154"/>
      <c r="E25" s="154"/>
      <c r="F25" s="154"/>
      <c r="G25" s="154"/>
      <c r="H25" s="154"/>
      <c r="I25" s="155"/>
      <c r="J25" s="154"/>
      <c r="K25" s="154"/>
      <c r="L25" s="154"/>
      <c r="M25" s="154"/>
      <c r="N25" s="49"/>
      <c r="O25" s="49"/>
      <c r="P25" s="49"/>
    </row>
    <row r="26" spans="2:16" ht="17.649999999999999" customHeight="1" x14ac:dyDescent="0.15">
      <c r="B26" s="154"/>
      <c r="C26" s="302" t="s">
        <v>145</v>
      </c>
      <c r="D26" s="302" t="s">
        <v>146</v>
      </c>
      <c r="E26" s="302" t="s">
        <v>147</v>
      </c>
      <c r="F26" s="290" t="s">
        <v>47</v>
      </c>
      <c r="G26" s="290" t="s">
        <v>32</v>
      </c>
      <c r="H26" s="290" t="s">
        <v>148</v>
      </c>
      <c r="I26" s="290" t="s">
        <v>149</v>
      </c>
      <c r="J26" s="292" t="s">
        <v>150</v>
      </c>
      <c r="K26" s="292"/>
      <c r="L26" s="292"/>
      <c r="M26" s="290" t="s">
        <v>26</v>
      </c>
      <c r="N26" s="290" t="s">
        <v>151</v>
      </c>
      <c r="O26" s="290" t="s">
        <v>152</v>
      </c>
      <c r="P26" s="49"/>
    </row>
    <row r="27" spans="2:16" ht="30.6" customHeight="1" x14ac:dyDescent="0.15">
      <c r="B27" s="154"/>
      <c r="C27" s="303"/>
      <c r="D27" s="303"/>
      <c r="E27" s="303"/>
      <c r="F27" s="291"/>
      <c r="G27" s="291"/>
      <c r="H27" s="291"/>
      <c r="I27" s="291"/>
      <c r="J27" s="156" t="s">
        <v>47</v>
      </c>
      <c r="K27" s="157" t="s">
        <v>32</v>
      </c>
      <c r="L27" s="157" t="s">
        <v>149</v>
      </c>
      <c r="M27" s="291"/>
      <c r="N27" s="291"/>
      <c r="O27" s="291"/>
      <c r="P27" s="49"/>
    </row>
    <row r="28" spans="2:16" s="166" customFormat="1" ht="21" x14ac:dyDescent="0.2">
      <c r="B28" s="158"/>
      <c r="C28" s="159" t="s">
        <v>237</v>
      </c>
      <c r="D28" s="160" t="s">
        <v>215</v>
      </c>
      <c r="E28" s="269">
        <f>SUMIF('1. Population Reconciliation'!$C$13:$C$19,'2. SAP Considerations'!C28,'1. Population Reconciliation'!$F$13:$F$19)</f>
        <v>0</v>
      </c>
      <c r="F28" s="161">
        <f>'3. SAP — Disaggregated Part 1'!$E$29</f>
        <v>0</v>
      </c>
      <c r="G28" s="162">
        <f>'3. SAP — Disaggregated Part 1'!$E$57</f>
        <v>0</v>
      </c>
      <c r="H28" s="162">
        <f>'3. SAP — Disaggregated Part 1'!$E$49</f>
        <v>0</v>
      </c>
      <c r="I28" s="163" t="str">
        <f>'3. SAP — Disaggregated Part 1'!$E$58</f>
        <v>Yes</v>
      </c>
      <c r="J28" s="160" t="str">
        <f>IF('3. SAP — Disaggregated Part 1'!$E$72="Yes",'3. SAP — Disaggregated Part 1'!$E$81,"N/A")</f>
        <v>N/A</v>
      </c>
      <c r="K28" s="164" t="str">
        <f>IF('3. SAP — Disaggregated Part 1'!$E$72="Yes",'3. SAP — Disaggregated Part 1'!$E$83,"N/A")</f>
        <v>N/A</v>
      </c>
      <c r="L28" s="163" t="str">
        <f>IF('3. SAP — Disaggregated Part 1'!$E$72="Yes",'3. SAP — Disaggregated Part 1'!$E$84,"N/A")</f>
        <v>N/A</v>
      </c>
      <c r="M28" s="268" t="str">
        <f>'3. SAP — Disaggregated Part 1'!$G$3</f>
        <v>[Select one]</v>
      </c>
      <c r="N28" s="268" t="str">
        <f>'3. SAP — Disaggregated Part 1'!$G$4</f>
        <v>[Select one]</v>
      </c>
      <c r="O28" s="268" t="str">
        <f>'3. SAP — Disaggregated Part 1'!$G$5</f>
        <v>[Select one]</v>
      </c>
      <c r="P28" s="165"/>
    </row>
    <row r="29" spans="2:16" s="166" customFormat="1" ht="40.9" customHeight="1" x14ac:dyDescent="0.2">
      <c r="B29" s="158"/>
      <c r="C29" s="159" t="s">
        <v>238</v>
      </c>
      <c r="D29" s="160" t="s">
        <v>216</v>
      </c>
      <c r="E29" s="269">
        <f>SUMIF('1. Population Reconciliation'!$C$13:$C$19,'2. SAP Considerations'!C29,'1. Population Reconciliation'!$F$13:$F$19)</f>
        <v>0</v>
      </c>
      <c r="F29" s="161">
        <f>'4. SAP — Disaggregated Part 2'!$E$28</f>
        <v>0</v>
      </c>
      <c r="G29" s="162">
        <f>'4. SAP — Disaggregated Part 2'!$E$56</f>
        <v>0</v>
      </c>
      <c r="H29" s="162">
        <f>'4. SAP — Disaggregated Part 2'!$E$48</f>
        <v>0</v>
      </c>
      <c r="I29" s="163" t="str">
        <f>'4. SAP — Disaggregated Part 2'!$E$57</f>
        <v>Yes</v>
      </c>
      <c r="J29" s="160" t="str">
        <f>IF('4. SAP — Disaggregated Part 2'!$E$71="Yes",'4. SAP — Disaggregated Part 2'!$E$80,"N/A")</f>
        <v>N/A</v>
      </c>
      <c r="K29" s="164" t="str">
        <f>IF('4. SAP — Disaggregated Part 2'!$E$71="Yes",'4. SAP — Disaggregated Part 2'!$E$82,"N/A")</f>
        <v>N/A</v>
      </c>
      <c r="L29" s="163" t="str">
        <f>IF('4. SAP — Disaggregated Part 2'!$E$71="Yes",'4. SAP — Disaggregated Part 2'!$E$83,"N/A")</f>
        <v>N/A</v>
      </c>
      <c r="M29" s="268" t="str">
        <f>'4. SAP — Disaggregated Part 2'!$G$3</f>
        <v>[Select one]</v>
      </c>
      <c r="N29" s="268" t="str">
        <f>'4. SAP — Disaggregated Part 2'!$G$4</f>
        <v>[Select one]</v>
      </c>
      <c r="O29" s="268" t="str">
        <f>'4. SAP — Disaggregated Part 2'!$G$5</f>
        <v>[Select one]</v>
      </c>
      <c r="P29" s="165"/>
    </row>
    <row r="30" spans="2:16" s="166" customFormat="1" ht="40.9" customHeight="1" x14ac:dyDescent="0.2">
      <c r="B30" s="158"/>
      <c r="C30" s="159" t="s">
        <v>239</v>
      </c>
      <c r="D30" s="160" t="s">
        <v>217</v>
      </c>
      <c r="E30" s="269">
        <f>SUMIF('1. Population Reconciliation'!$C$13:$C$19,'2. SAP Considerations'!C30,'1. Population Reconciliation'!$F$13:$F$19)</f>
        <v>0</v>
      </c>
      <c r="F30" s="161">
        <f>'5. SAP — Disaggregated Part 3'!$E$28</f>
        <v>0</v>
      </c>
      <c r="G30" s="162">
        <f>'5. SAP — Disaggregated Part 3'!$E$56</f>
        <v>0</v>
      </c>
      <c r="H30" s="162">
        <f>'5. SAP — Disaggregated Part 3'!$E$48</f>
        <v>0</v>
      </c>
      <c r="I30" s="163" t="str">
        <f>'5. SAP — Disaggregated Part 3'!$E$57</f>
        <v>Yes</v>
      </c>
      <c r="J30" s="160" t="str">
        <f>IF('5. SAP — Disaggregated Part 3'!$E$71="Yes",'5. SAP — Disaggregated Part 3'!$E$80,"N/A")</f>
        <v>N/A</v>
      </c>
      <c r="K30" s="164" t="str">
        <f>IF('5. SAP — Disaggregated Part 3'!$E$71="Yes",'5. SAP — Disaggregated Part 3'!$E$82,"N/A")</f>
        <v>N/A</v>
      </c>
      <c r="L30" s="163" t="str">
        <f>IF('5. SAP — Disaggregated Part 3'!$E$71="Yes",'5. SAP — Disaggregated Part 3'!$E$83,"N/A")</f>
        <v>N/A</v>
      </c>
      <c r="M30" s="268" t="str">
        <f>'5. SAP — Disaggregated Part 3'!$G$3</f>
        <v>[Select one]</v>
      </c>
      <c r="N30" s="268" t="str">
        <f>'5. SAP — Disaggregated Part 3'!$G$4</f>
        <v>[Select one]</v>
      </c>
      <c r="O30" s="268" t="str">
        <f>'5. SAP — Disaggregated Part 3'!$G$5</f>
        <v>[Select one]</v>
      </c>
      <c r="P30" s="165"/>
    </row>
    <row r="31" spans="2:16" x14ac:dyDescent="0.15">
      <c r="B31" s="154"/>
      <c r="C31" s="49"/>
      <c r="D31" s="49"/>
      <c r="E31" s="49"/>
      <c r="F31" s="49"/>
      <c r="G31" s="49"/>
      <c r="H31" s="49"/>
      <c r="I31" s="49"/>
      <c r="J31" s="49"/>
      <c r="K31" s="49"/>
      <c r="L31" s="49"/>
      <c r="M31" s="49"/>
      <c r="N31" s="49"/>
      <c r="O31" s="49"/>
      <c r="P31" s="49"/>
    </row>
    <row r="32" spans="2:16" x14ac:dyDescent="0.15">
      <c r="B32" s="154"/>
      <c r="C32" s="49"/>
      <c r="D32" s="49"/>
      <c r="E32" s="49"/>
      <c r="F32" s="49"/>
      <c r="G32" s="49"/>
      <c r="H32" s="49"/>
      <c r="I32" s="49"/>
      <c r="J32" s="49"/>
      <c r="K32" s="49"/>
      <c r="L32" s="49"/>
      <c r="M32" s="49"/>
      <c r="N32" s="49"/>
      <c r="O32" s="49"/>
      <c r="P32" s="49"/>
    </row>
    <row r="33" spans="2:16" x14ac:dyDescent="0.15">
      <c r="B33" s="154"/>
      <c r="C33" s="49"/>
      <c r="D33" s="167" t="s">
        <v>153</v>
      </c>
      <c r="E33" s="168">
        <f>SUM($E$28:$E$30)</f>
        <v>0</v>
      </c>
      <c r="F33" s="49"/>
      <c r="G33" s="49"/>
      <c r="H33" s="49"/>
      <c r="I33" s="49"/>
      <c r="J33" s="49"/>
      <c r="K33" s="49"/>
      <c r="L33" s="49"/>
      <c r="M33" s="49"/>
      <c r="N33" s="49"/>
      <c r="O33" s="49"/>
      <c r="P33" s="49"/>
    </row>
    <row r="34" spans="2:16" x14ac:dyDescent="0.15">
      <c r="B34" s="154"/>
      <c r="C34" s="49"/>
      <c r="D34" s="167" t="s">
        <v>154</v>
      </c>
      <c r="E34" s="169">
        <f>IF('0. Summary Tab'!$D$10:$E$10="Insert TB link or link to Lead",0,'0. Summary Tab'!$D$10:$E$10)</f>
        <v>0</v>
      </c>
      <c r="F34" s="170" t="s">
        <v>244</v>
      </c>
      <c r="G34" s="49"/>
      <c r="H34" s="49"/>
      <c r="I34" s="49"/>
      <c r="J34" s="49"/>
      <c r="K34" s="49"/>
      <c r="L34" s="49"/>
      <c r="M34" s="49"/>
      <c r="N34" s="49"/>
      <c r="O34" s="49"/>
      <c r="P34" s="49"/>
    </row>
    <row r="35" spans="2:16" x14ac:dyDescent="0.15">
      <c r="B35" s="154"/>
      <c r="C35" s="49"/>
      <c r="D35" s="167" t="s">
        <v>32</v>
      </c>
      <c r="E35" s="168">
        <f>$E$33-$E$34</f>
        <v>0</v>
      </c>
      <c r="F35" s="49"/>
      <c r="G35" s="49"/>
      <c r="H35" s="49"/>
      <c r="I35" s="49"/>
      <c r="J35" s="49"/>
      <c r="K35" s="49"/>
      <c r="L35" s="49"/>
      <c r="M35" s="49"/>
      <c r="N35" s="49"/>
      <c r="O35" s="49"/>
      <c r="P35" s="49"/>
    </row>
    <row r="36" spans="2:16" x14ac:dyDescent="0.15">
      <c r="B36" s="154"/>
      <c r="C36" s="49"/>
      <c r="D36" s="49"/>
      <c r="E36" s="49"/>
      <c r="F36" s="49"/>
      <c r="G36" s="49"/>
      <c r="H36" s="49"/>
      <c r="I36" s="49"/>
      <c r="J36" s="49"/>
      <c r="K36" s="49"/>
      <c r="L36" s="49"/>
      <c r="M36" s="49"/>
      <c r="N36" s="49"/>
      <c r="O36" s="49"/>
      <c r="P36" s="49"/>
    </row>
    <row r="37" spans="2:16" x14ac:dyDescent="0.15">
      <c r="B37" s="49"/>
      <c r="C37" s="49"/>
      <c r="D37" s="49"/>
      <c r="E37" s="49"/>
      <c r="F37" s="49"/>
      <c r="G37" s="49"/>
      <c r="H37" s="49"/>
      <c r="I37" s="49"/>
      <c r="J37" s="49"/>
      <c r="K37" s="49"/>
      <c r="L37" s="49"/>
      <c r="M37" s="49"/>
      <c r="N37" s="49"/>
      <c r="O37" s="49"/>
      <c r="P37" s="49"/>
    </row>
  </sheetData>
  <mergeCells count="19">
    <mergeCell ref="C16:H16"/>
    <mergeCell ref="C8:H8"/>
    <mergeCell ref="C9:H9"/>
    <mergeCell ref="C10:H11"/>
    <mergeCell ref="C12:H12"/>
    <mergeCell ref="C13:H14"/>
    <mergeCell ref="C17:H17"/>
    <mergeCell ref="C18:H22"/>
    <mergeCell ref="C26:C27"/>
    <mergeCell ref="D26:D27"/>
    <mergeCell ref="E26:E27"/>
    <mergeCell ref="F26:F27"/>
    <mergeCell ref="G26:G27"/>
    <mergeCell ref="H26:H27"/>
    <mergeCell ref="I26:I27"/>
    <mergeCell ref="J26:L26"/>
    <mergeCell ref="M26:M27"/>
    <mergeCell ref="N26:N27"/>
    <mergeCell ref="O26:O27"/>
  </mergeCells>
  <conditionalFormatting sqref="I28">
    <cfRule type="cellIs" dxfId="112" priority="65" stopIfTrue="1" operator="equal">
      <formula>0</formula>
    </cfRule>
    <cfRule type="cellIs" dxfId="111" priority="66" stopIfTrue="1" operator="equal">
      <formula>"Yes"</formula>
    </cfRule>
    <cfRule type="cellIs" dxfId="110" priority="67" stopIfTrue="1" operator="equal">
      <formula>"Invalid selection"</formula>
    </cfRule>
    <cfRule type="cellIs" dxfId="109" priority="68" stopIfTrue="1" operator="equal">
      <formula>"No, Investigate"</formula>
    </cfRule>
  </conditionalFormatting>
  <conditionalFormatting sqref="L28">
    <cfRule type="cellIs" dxfId="108" priority="63" stopIfTrue="1" operator="equal">
      <formula>"Yes"</formula>
    </cfRule>
    <cfRule type="cellIs" dxfId="107" priority="64" stopIfTrue="1" operator="equal">
      <formula>"No, Investigate"</formula>
    </cfRule>
  </conditionalFormatting>
  <conditionalFormatting sqref="I29">
    <cfRule type="cellIs" dxfId="106" priority="59" stopIfTrue="1" operator="equal">
      <formula>0</formula>
    </cfRule>
    <cfRule type="cellIs" dxfId="105" priority="60" stopIfTrue="1" operator="equal">
      <formula>"Yes"</formula>
    </cfRule>
    <cfRule type="cellIs" dxfId="104" priority="61" stopIfTrue="1" operator="equal">
      <formula>"Invalid selection"</formula>
    </cfRule>
    <cfRule type="cellIs" dxfId="103" priority="62" stopIfTrue="1" operator="equal">
      <formula>"No, Investigate"</formula>
    </cfRule>
  </conditionalFormatting>
  <conditionalFormatting sqref="L29">
    <cfRule type="cellIs" dxfId="102" priority="57" stopIfTrue="1" operator="equal">
      <formula>"Yes"</formula>
    </cfRule>
    <cfRule type="cellIs" dxfId="101" priority="58" stopIfTrue="1" operator="equal">
      <formula>"No, Investigate"</formula>
    </cfRule>
  </conditionalFormatting>
  <conditionalFormatting sqref="I30">
    <cfRule type="cellIs" dxfId="100" priority="53" stopIfTrue="1" operator="equal">
      <formula>0</formula>
    </cfRule>
    <cfRule type="cellIs" dxfId="99" priority="54" stopIfTrue="1" operator="equal">
      <formula>"Yes"</formula>
    </cfRule>
    <cfRule type="cellIs" dxfId="98" priority="55" stopIfTrue="1" operator="equal">
      <formula>"Invalid selection"</formula>
    </cfRule>
    <cfRule type="cellIs" dxfId="97" priority="56" stopIfTrue="1" operator="equal">
      <formula>"No, Investigate"</formula>
    </cfRule>
  </conditionalFormatting>
  <conditionalFormatting sqref="L30">
    <cfRule type="cellIs" dxfId="96" priority="51" stopIfTrue="1" operator="equal">
      <formula>"Yes"</formula>
    </cfRule>
    <cfRule type="cellIs" dxfId="95" priority="52" stopIfTrue="1" operator="equal">
      <formula>"No, Investigate"</formula>
    </cfRule>
  </conditionalFormatting>
  <conditionalFormatting sqref="M28:M30">
    <cfRule type="containsText" dxfId="94" priority="7" operator="containsText" text="No ">
      <formula>NOT(ISERROR(SEARCH("No ",M28)))</formula>
    </cfRule>
    <cfRule type="containsText" dxfId="93" priority="8" operator="containsText" text="Differences">
      <formula>NOT(ISERROR(SEARCH("Differences",M28)))</formula>
    </cfRule>
  </conditionalFormatting>
  <conditionalFormatting sqref="O28">
    <cfRule type="containsText" dxfId="92" priority="19" operator="containsText" text="Yes">
      <formula>NOT(ISERROR(SEARCH("Yes",O28)))</formula>
    </cfRule>
    <cfRule type="containsText" dxfId="91" priority="20" operator="containsText" text="No">
      <formula>NOT(ISERROR(SEARCH("No",O28)))</formula>
    </cfRule>
  </conditionalFormatting>
  <conditionalFormatting sqref="N28:N30">
    <cfRule type="containsText" dxfId="90" priority="15" operator="containsText" text="Other">
      <formula>NOT(ISERROR(SEARCH("Other",N28)))</formula>
    </cfRule>
    <cfRule type="containsText" dxfId="89" priority="16" operator="containsText" text="&gt; CTT">
      <formula>NOT(ISERROR(SEARCH("&gt; CTT",N28)))</formula>
    </cfRule>
    <cfRule type="containsText" dxfId="88" priority="17" operator="containsText" text="Fraud">
      <formula>NOT(ISERROR(SEARCH("Fraud",N28)))</formula>
    </cfRule>
    <cfRule type="containsText" dxfId="87" priority="18" operator="containsText" text="None">
      <formula>NOT(ISERROR(SEARCH("None",N28)))</formula>
    </cfRule>
  </conditionalFormatting>
  <conditionalFormatting sqref="N29:N30">
    <cfRule type="containsText" dxfId="86" priority="3" operator="containsText" text="Other">
      <formula>NOT(ISERROR(SEARCH("Other",N29)))</formula>
    </cfRule>
    <cfRule type="containsText" dxfId="85" priority="4" operator="containsText" text="&gt; CTT">
      <formula>NOT(ISERROR(SEARCH("&gt; CTT",N29)))</formula>
    </cfRule>
    <cfRule type="containsText" dxfId="84" priority="5" operator="containsText" text="Fraud">
      <formula>NOT(ISERROR(SEARCH("Fraud",N29)))</formula>
    </cfRule>
    <cfRule type="containsText" dxfId="83" priority="6" operator="containsText" text="None">
      <formula>NOT(ISERROR(SEARCH("None",N29)))</formula>
    </cfRule>
  </conditionalFormatting>
  <conditionalFormatting sqref="O29:O30">
    <cfRule type="containsText" dxfId="82" priority="1" operator="containsText" text="Yes">
      <formula>NOT(ISERROR(SEARCH("Yes",O29)))</formula>
    </cfRule>
    <cfRule type="containsText" dxfId="81" priority="2" operator="containsText" text="No">
      <formula>NOT(ISERROR(SEARCH("No",O29)))</formula>
    </cfRule>
  </conditionalFormatting>
  <hyperlinks>
    <hyperlink ref="M28" location="'3. SAP — Disaggregated Part 1'!G3" display="'3. SAP — Disaggregated Part 1'!G3" xr:uid="{00000000-0004-0000-0200-000001000000}"/>
    <hyperlink ref="M29" location="'4. SAP — Disaggregated Part 2'!G3" display="'4. SAP — Disaggregated Part 2'!G3" xr:uid="{00000000-0004-0000-0200-000002000000}"/>
    <hyperlink ref="M30" location="'5. SAP — Disaggregated Part 3'!G3" display="'5. SAP — Disaggregated Part 3'!G3" xr:uid="{00000000-0004-0000-0200-000003000000}"/>
    <hyperlink ref="N28" location="'3. SAP — Disaggregated Part 1'!G4" display="'3. SAP — Disaggregated Part 1'!G4" xr:uid="{00000000-0004-0000-0200-000004000000}"/>
    <hyperlink ref="O28" location="'3. SAP — Disaggregated Part 1'!G5" display="'3. SAP — Disaggregated Part 1'!G5" xr:uid="{00000000-0004-0000-0200-000005000000}"/>
    <hyperlink ref="N29" location="'4. SAP — Disaggregated Part 2'!G4" display="'4. SAP — Disaggregated Part 2'!G4" xr:uid="{00000000-0004-0000-0200-000006000000}"/>
    <hyperlink ref="O29" location="'4. SAP — Disaggregated Part 2'!G5" display="'4. SAP — Disaggregated Part 2'!G5" xr:uid="{00000000-0004-0000-0200-000007000000}"/>
    <hyperlink ref="N30" location="'5. SAP — Disaggregated Part 3'!G4" display="'5. SAP — Disaggregated Part 3'!G4" xr:uid="{00000000-0004-0000-0200-000008000000}"/>
    <hyperlink ref="O30" location="'5. SAP — Disaggregated Part 3'!G5" display="'5. SAP — Disaggregated Part 3'!G5" xr:uid="{00000000-0004-0000-0200-000009000000}"/>
    <hyperlink ref="F2" location="'0. Summary Tab'!A1" display="Click here to return to Summary tab" xr:uid="{7C30C345-D592-4BCF-970C-DF333DD53742}"/>
  </hyperlinks>
  <pageMargins left="0.75" right="0.75" top="1" bottom="1" header="0.5" footer="0.5"/>
  <pageSetup scale="35" fitToHeight="0" orientation="landscape" r:id="rId1"/>
  <headerFooter alignWithMargins="0"/>
  <customProperties>
    <customPr name="EpmWorksheetKeyString_GUID" r:id="rId2"/>
  </customProperties>
  <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B2:L93"/>
  <sheetViews>
    <sheetView showGridLines="0" zoomScaleNormal="100" workbookViewId="0"/>
  </sheetViews>
  <sheetFormatPr defaultColWidth="8.796875" defaultRowHeight="10.5" x14ac:dyDescent="0.15"/>
  <cols>
    <col min="1" max="1" width="2.19921875" style="33" bestFit="1" customWidth="1"/>
    <col min="2" max="2" width="6.69921875" style="33" bestFit="1" customWidth="1"/>
    <col min="3" max="4" width="16" style="33" customWidth="1"/>
    <col min="5" max="5" width="12.69921875" style="33" customWidth="1"/>
    <col min="6" max="6" width="25.69921875" style="33" bestFit="1" customWidth="1"/>
    <col min="7" max="7" width="34.19921875" style="33" customWidth="1"/>
    <col min="8" max="8" width="4.69921875" style="33" customWidth="1"/>
    <col min="9" max="11" width="15.59765625" style="33" customWidth="1"/>
    <col min="12" max="12" width="4.69921875" style="33" customWidth="1"/>
    <col min="13" max="16384" width="8.796875" style="33"/>
  </cols>
  <sheetData>
    <row r="2" spans="2:12" x14ac:dyDescent="0.15">
      <c r="B2" s="49"/>
      <c r="C2" s="49"/>
      <c r="D2" s="49"/>
      <c r="E2" s="49"/>
      <c r="F2" s="49"/>
      <c r="G2" s="49"/>
      <c r="H2" s="49"/>
      <c r="I2" s="140" t="s">
        <v>25</v>
      </c>
      <c r="J2" s="49"/>
      <c r="K2" s="49"/>
      <c r="L2" s="49"/>
    </row>
    <row r="3" spans="2:12" x14ac:dyDescent="0.15">
      <c r="B3" s="3" t="s">
        <v>1</v>
      </c>
      <c r="C3" s="141" t="str">
        <f>'0. Summary Tab'!$C$5</f>
        <v>ABC Inc.</v>
      </c>
      <c r="D3" s="66"/>
      <c r="E3" s="49"/>
      <c r="F3" s="143" t="s">
        <v>26</v>
      </c>
      <c r="G3" s="248" t="s">
        <v>14</v>
      </c>
      <c r="H3" s="171"/>
      <c r="I3" s="145" t="s">
        <v>3</v>
      </c>
      <c r="J3" s="145" t="s">
        <v>4</v>
      </c>
      <c r="K3" s="146" t="s">
        <v>5</v>
      </c>
      <c r="L3" s="49"/>
    </row>
    <row r="4" spans="2:12" x14ac:dyDescent="0.15">
      <c r="B4" s="6" t="s">
        <v>6</v>
      </c>
      <c r="C4" s="275" t="str">
        <f>'0. Summary Tab'!$C$6</f>
        <v>12/31/20XX</v>
      </c>
      <c r="D4" s="172"/>
      <c r="E4" s="49"/>
      <c r="F4" s="143" t="s">
        <v>27</v>
      </c>
      <c r="G4" s="249" t="s">
        <v>14</v>
      </c>
      <c r="H4" s="49"/>
      <c r="I4" s="142">
        <f>'0. Summary Tab'!$E$6</f>
        <v>0</v>
      </c>
      <c r="J4" s="142">
        <f>'0. Summary Tab'!$F$6</f>
        <v>0</v>
      </c>
      <c r="K4" s="142">
        <f>'0. Summary Tab'!$G$6</f>
        <v>0</v>
      </c>
      <c r="L4" s="49"/>
    </row>
    <row r="5" spans="2:12" x14ac:dyDescent="0.15">
      <c r="B5" s="147"/>
      <c r="C5" s="131"/>
      <c r="D5" s="131"/>
      <c r="E5" s="49"/>
      <c r="F5" s="143" t="s">
        <v>28</v>
      </c>
      <c r="G5" s="249" t="s">
        <v>14</v>
      </c>
      <c r="H5" s="49"/>
      <c r="I5" s="49"/>
      <c r="J5" s="49"/>
      <c r="K5" s="49"/>
      <c r="L5" s="49"/>
    </row>
    <row r="6" spans="2:12" x14ac:dyDescent="0.15">
      <c r="B6" s="49"/>
      <c r="C6" s="49"/>
      <c r="D6" s="49"/>
      <c r="E6" s="49"/>
      <c r="F6" s="49"/>
      <c r="G6" s="49"/>
      <c r="H6" s="49"/>
      <c r="I6" s="49"/>
      <c r="J6" s="49"/>
      <c r="K6" s="49"/>
      <c r="L6" s="49"/>
    </row>
    <row r="7" spans="2:12" x14ac:dyDescent="0.15">
      <c r="B7" s="51"/>
      <c r="C7" s="52"/>
      <c r="D7" s="52"/>
      <c r="E7" s="52"/>
      <c r="F7" s="52"/>
      <c r="G7" s="52"/>
      <c r="H7" s="52"/>
      <c r="I7" s="52"/>
      <c r="J7" s="52"/>
    </row>
    <row r="8" spans="2:12" x14ac:dyDescent="0.15">
      <c r="B8" s="49"/>
      <c r="C8" s="149"/>
      <c r="D8" s="149"/>
      <c r="E8" s="129"/>
      <c r="F8" s="151"/>
      <c r="G8" s="129"/>
      <c r="H8" s="173"/>
      <c r="I8" s="50"/>
      <c r="J8" s="49"/>
      <c r="K8" s="49"/>
      <c r="L8" s="49"/>
    </row>
    <row r="9" spans="2:12" x14ac:dyDescent="0.15">
      <c r="B9" s="49"/>
      <c r="C9" s="174" t="s">
        <v>29</v>
      </c>
      <c r="D9" s="369" t="s">
        <v>155</v>
      </c>
      <c r="E9" s="370"/>
      <c r="F9" s="370"/>
      <c r="G9" s="371"/>
      <c r="H9" s="173"/>
      <c r="I9" s="50"/>
      <c r="J9" s="49"/>
      <c r="K9" s="49"/>
      <c r="L9" s="49"/>
    </row>
    <row r="10" spans="2:12" x14ac:dyDescent="0.15">
      <c r="B10" s="49"/>
      <c r="C10" s="149"/>
      <c r="D10" s="149"/>
      <c r="E10" s="129"/>
      <c r="F10" s="151"/>
      <c r="G10" s="129"/>
      <c r="H10" s="173"/>
      <c r="I10" s="50"/>
      <c r="J10" s="49"/>
      <c r="K10" s="49"/>
      <c r="L10" s="49"/>
    </row>
    <row r="11" spans="2:12" x14ac:dyDescent="0.15">
      <c r="C11" s="57"/>
      <c r="D11" s="57"/>
      <c r="E11" s="58"/>
      <c r="F11" s="59"/>
      <c r="G11" s="130"/>
      <c r="H11" s="60"/>
    </row>
    <row r="12" spans="2:12" x14ac:dyDescent="0.15">
      <c r="B12" s="49"/>
      <c r="C12" s="66"/>
      <c r="D12" s="66"/>
      <c r="E12" s="50"/>
      <c r="F12" s="131"/>
      <c r="G12" s="50"/>
      <c r="H12" s="50"/>
      <c r="I12" s="50"/>
      <c r="J12" s="50"/>
      <c r="K12" s="50"/>
      <c r="L12" s="50"/>
    </row>
    <row r="13" spans="2:12" x14ac:dyDescent="0.15">
      <c r="B13" s="49"/>
      <c r="C13" s="372" t="s">
        <v>156</v>
      </c>
      <c r="D13" s="373"/>
      <c r="E13" s="175" t="s">
        <v>147</v>
      </c>
      <c r="F13" s="176"/>
      <c r="G13" s="49"/>
      <c r="H13" s="49"/>
      <c r="I13" s="49"/>
      <c r="J13" s="49"/>
      <c r="K13" s="49"/>
      <c r="L13" s="49"/>
    </row>
    <row r="14" spans="2:12" x14ac:dyDescent="0.15">
      <c r="B14" s="49"/>
      <c r="C14" s="374" t="str">
        <f>'2. SAP Considerations'!$C$28</f>
        <v>Disaggregated Part 1</v>
      </c>
      <c r="D14" s="375"/>
      <c r="E14" s="177">
        <f>'2. SAP Considerations'!$E$28</f>
        <v>0</v>
      </c>
      <c r="F14" s="178" t="s">
        <v>157</v>
      </c>
      <c r="G14" s="49"/>
      <c r="H14" s="49"/>
      <c r="I14" s="49"/>
      <c r="J14" s="49"/>
      <c r="K14" s="49"/>
      <c r="L14" s="49"/>
    </row>
    <row r="15" spans="2:12" x14ac:dyDescent="0.15">
      <c r="B15" s="49"/>
      <c r="C15" s="49"/>
      <c r="D15" s="49"/>
      <c r="E15" s="49"/>
      <c r="F15" s="49"/>
      <c r="G15" s="49"/>
      <c r="H15" s="49"/>
      <c r="I15" s="49"/>
      <c r="J15" s="49"/>
      <c r="K15" s="49"/>
      <c r="L15" s="49"/>
    </row>
    <row r="16" spans="2:12" x14ac:dyDescent="0.15">
      <c r="B16" s="179" t="s">
        <v>158</v>
      </c>
      <c r="C16" s="337" t="s">
        <v>159</v>
      </c>
      <c r="D16" s="346"/>
      <c r="E16" s="346"/>
      <c r="F16" s="346"/>
      <c r="G16" s="338"/>
      <c r="H16" s="49"/>
      <c r="I16" s="49"/>
      <c r="J16" s="49"/>
      <c r="K16" s="49"/>
      <c r="L16" s="49"/>
    </row>
    <row r="17" spans="2:12" x14ac:dyDescent="0.15">
      <c r="B17" s="49"/>
      <c r="C17" s="49"/>
      <c r="D17" s="49"/>
      <c r="E17" s="49"/>
      <c r="F17" s="49"/>
      <c r="G17" s="49"/>
      <c r="H17" s="49"/>
      <c r="I17" s="49"/>
      <c r="J17" s="49"/>
      <c r="K17" s="49"/>
      <c r="L17" s="49"/>
    </row>
    <row r="18" spans="2:12" x14ac:dyDescent="0.15">
      <c r="B18" s="49"/>
      <c r="C18" s="376" t="s">
        <v>160</v>
      </c>
      <c r="D18" s="377"/>
      <c r="E18" s="180" t="s">
        <v>161</v>
      </c>
      <c r="F18" s="180" t="s">
        <v>162</v>
      </c>
      <c r="G18" s="180" t="s">
        <v>163</v>
      </c>
      <c r="H18" s="49"/>
      <c r="I18" s="49"/>
      <c r="J18" s="49"/>
      <c r="K18" s="49"/>
      <c r="L18" s="49"/>
    </row>
    <row r="19" spans="2:12" ht="12" customHeight="1" x14ac:dyDescent="0.15">
      <c r="B19" s="49"/>
      <c r="C19" s="380" t="s">
        <v>219</v>
      </c>
      <c r="D19" s="381"/>
      <c r="E19" s="245"/>
      <c r="F19" s="182"/>
      <c r="G19" s="182"/>
      <c r="H19" s="49"/>
      <c r="I19" s="49"/>
      <c r="J19" s="49"/>
      <c r="K19" s="49"/>
      <c r="L19" s="49"/>
    </row>
    <row r="20" spans="2:12" ht="23.65" customHeight="1" x14ac:dyDescent="0.15">
      <c r="B20" s="49"/>
      <c r="C20" s="378" t="s">
        <v>222</v>
      </c>
      <c r="D20" s="379"/>
      <c r="E20" s="253"/>
      <c r="F20" s="182"/>
      <c r="G20" s="182"/>
      <c r="H20" s="49"/>
      <c r="I20" s="49"/>
      <c r="J20" s="49"/>
      <c r="K20" s="49"/>
      <c r="L20" s="49"/>
    </row>
    <row r="21" spans="2:12" x14ac:dyDescent="0.15">
      <c r="B21" s="49"/>
      <c r="C21" s="378" t="s">
        <v>221</v>
      </c>
      <c r="D21" s="379"/>
      <c r="E21" s="245"/>
      <c r="F21" s="182"/>
      <c r="G21" s="182"/>
      <c r="H21" s="49"/>
      <c r="I21" s="49"/>
      <c r="J21" s="49"/>
      <c r="K21" s="49"/>
      <c r="L21" s="49"/>
    </row>
    <row r="22" spans="2:12" x14ac:dyDescent="0.15">
      <c r="B22" s="49"/>
      <c r="C22" s="251" t="s">
        <v>42</v>
      </c>
      <c r="D22" s="252"/>
      <c r="E22" s="181"/>
      <c r="F22" s="182"/>
      <c r="G22" s="182"/>
      <c r="H22" s="49"/>
      <c r="I22" s="49"/>
      <c r="J22" s="49"/>
      <c r="K22" s="49"/>
      <c r="L22" s="49"/>
    </row>
    <row r="23" spans="2:12" x14ac:dyDescent="0.15">
      <c r="B23" s="49"/>
      <c r="C23" s="251" t="s">
        <v>43</v>
      </c>
      <c r="D23" s="252"/>
      <c r="E23" s="181"/>
      <c r="F23" s="182"/>
      <c r="G23" s="182"/>
      <c r="H23" s="49"/>
      <c r="I23" s="49"/>
      <c r="J23" s="49"/>
      <c r="K23" s="49"/>
      <c r="L23" s="49"/>
    </row>
    <row r="24" spans="2:12" x14ac:dyDescent="0.15">
      <c r="B24" s="49"/>
      <c r="C24" s="265"/>
      <c r="D24" s="266"/>
      <c r="E24" s="245"/>
      <c r="F24" s="182"/>
      <c r="G24" s="182"/>
      <c r="H24" s="49"/>
      <c r="I24" s="49"/>
      <c r="J24" s="49"/>
      <c r="K24" s="49"/>
      <c r="L24" s="49"/>
    </row>
    <row r="25" spans="2:12" x14ac:dyDescent="0.15">
      <c r="B25" s="49"/>
      <c r="C25" s="367"/>
      <c r="D25" s="368"/>
      <c r="E25" s="183"/>
      <c r="F25" s="182"/>
      <c r="G25" s="182"/>
      <c r="H25" s="49"/>
      <c r="I25" s="49"/>
      <c r="J25" s="49"/>
      <c r="K25" s="49"/>
      <c r="L25" s="49"/>
    </row>
    <row r="26" spans="2:12" x14ac:dyDescent="0.15">
      <c r="B26" s="49"/>
      <c r="C26" s="367"/>
      <c r="D26" s="368"/>
      <c r="E26" s="183"/>
      <c r="F26" s="182"/>
      <c r="G26" s="182"/>
      <c r="H26" s="49"/>
      <c r="I26" s="49"/>
      <c r="J26" s="49"/>
      <c r="K26" s="49"/>
      <c r="L26" s="49"/>
    </row>
    <row r="27" spans="2:12" x14ac:dyDescent="0.15">
      <c r="B27" s="49"/>
      <c r="C27" s="184"/>
      <c r="D27" s="185"/>
      <c r="E27" s="183"/>
      <c r="F27" s="182"/>
      <c r="G27" s="182"/>
      <c r="H27" s="49"/>
      <c r="I27" s="49"/>
      <c r="J27" s="49"/>
      <c r="K27" s="49"/>
      <c r="L27" s="49"/>
    </row>
    <row r="28" spans="2:12" x14ac:dyDescent="0.15">
      <c r="B28" s="49"/>
      <c r="C28" s="347" t="s">
        <v>245</v>
      </c>
      <c r="D28" s="348"/>
      <c r="E28" s="267"/>
      <c r="F28" s="182"/>
      <c r="G28" s="182"/>
      <c r="H28" s="49"/>
      <c r="I28" s="49"/>
      <c r="J28" s="49"/>
      <c r="K28" s="49"/>
      <c r="L28" s="49"/>
    </row>
    <row r="29" spans="2:12" ht="11.25" thickBot="1" x14ac:dyDescent="0.2">
      <c r="B29" s="49"/>
      <c r="C29" s="349" t="s">
        <v>164</v>
      </c>
      <c r="D29" s="350"/>
      <c r="E29" s="254">
        <f>IFERROR((E20/E23*(1+E21)*E22*E28),0)</f>
        <v>0</v>
      </c>
      <c r="F29" s="178" t="s">
        <v>165</v>
      </c>
      <c r="G29" s="176"/>
      <c r="H29" s="49"/>
      <c r="I29" s="49"/>
      <c r="J29" s="49"/>
      <c r="K29" s="49"/>
      <c r="L29" s="49"/>
    </row>
    <row r="30" spans="2:12" x14ac:dyDescent="0.15">
      <c r="B30" s="49"/>
      <c r="C30" s="49"/>
      <c r="D30" s="49"/>
      <c r="E30" s="49"/>
      <c r="F30" s="49"/>
      <c r="G30" s="49"/>
      <c r="H30" s="49"/>
      <c r="I30" s="49"/>
      <c r="J30" s="49"/>
      <c r="K30" s="49"/>
      <c r="L30" s="49"/>
    </row>
    <row r="31" spans="2:12" x14ac:dyDescent="0.15">
      <c r="B31" s="179" t="s">
        <v>166</v>
      </c>
      <c r="C31" s="351" t="s">
        <v>167</v>
      </c>
      <c r="D31" s="352"/>
      <c r="E31" s="352"/>
      <c r="F31" s="352"/>
      <c r="G31" s="353"/>
      <c r="H31" s="49"/>
      <c r="I31" s="49"/>
      <c r="J31" s="49"/>
      <c r="K31" s="49"/>
      <c r="L31" s="49"/>
    </row>
    <row r="32" spans="2:12" x14ac:dyDescent="0.15">
      <c r="B32" s="187"/>
      <c r="C32" s="188"/>
      <c r="D32" s="188"/>
      <c r="E32" s="189"/>
      <c r="F32" s="189"/>
      <c r="G32" s="189"/>
      <c r="H32" s="50"/>
      <c r="I32" s="49"/>
      <c r="J32" s="49"/>
      <c r="K32" s="49"/>
      <c r="L32" s="49"/>
    </row>
    <row r="33" spans="2:12" ht="11.25" x14ac:dyDescent="0.15">
      <c r="B33" s="187"/>
      <c r="C33" s="354" t="s">
        <v>168</v>
      </c>
      <c r="D33" s="355"/>
      <c r="E33" s="355"/>
      <c r="F33" s="355"/>
      <c r="G33" s="356"/>
      <c r="H33" s="50"/>
      <c r="I33" s="49"/>
      <c r="J33" s="49"/>
      <c r="K33" s="49"/>
      <c r="L33" s="49"/>
    </row>
    <row r="34" spans="2:12" x14ac:dyDescent="0.15">
      <c r="B34" s="187"/>
      <c r="C34" s="188"/>
      <c r="D34" s="188"/>
      <c r="E34" s="189"/>
      <c r="F34" s="189"/>
      <c r="G34" s="189"/>
      <c r="H34" s="50"/>
      <c r="I34" s="49"/>
      <c r="J34" s="49"/>
      <c r="K34" s="49"/>
      <c r="L34" s="49"/>
    </row>
    <row r="35" spans="2:12" x14ac:dyDescent="0.15">
      <c r="B35" s="179" t="s">
        <v>169</v>
      </c>
      <c r="C35" s="337" t="s">
        <v>170</v>
      </c>
      <c r="D35" s="346"/>
      <c r="E35" s="346"/>
      <c r="F35" s="346"/>
      <c r="G35" s="338"/>
      <c r="H35" s="49"/>
      <c r="I35" s="49"/>
      <c r="J35" s="49"/>
      <c r="K35" s="49"/>
      <c r="L35" s="49"/>
    </row>
    <row r="36" spans="2:12" x14ac:dyDescent="0.15">
      <c r="B36" s="49"/>
      <c r="C36" s="49"/>
      <c r="D36" s="49"/>
      <c r="E36" s="49"/>
      <c r="F36" s="49"/>
      <c r="G36" s="49"/>
      <c r="H36" s="49"/>
      <c r="I36" s="49"/>
      <c r="J36" s="49"/>
      <c r="K36" s="49"/>
      <c r="L36" s="49"/>
    </row>
    <row r="37" spans="2:12" x14ac:dyDescent="0.15">
      <c r="B37" s="49"/>
      <c r="C37" s="357" t="s">
        <v>171</v>
      </c>
      <c r="D37" s="358"/>
      <c r="E37" s="359"/>
      <c r="F37" s="49"/>
      <c r="G37" s="49"/>
      <c r="H37" s="49"/>
      <c r="I37" s="49"/>
      <c r="J37" s="49"/>
      <c r="K37" s="49"/>
      <c r="L37" s="49"/>
    </row>
    <row r="38" spans="2:12" x14ac:dyDescent="0.15">
      <c r="B38" s="49"/>
      <c r="C38" s="190" t="s">
        <v>172</v>
      </c>
      <c r="D38" s="191"/>
      <c r="E38" s="360" t="s">
        <v>31</v>
      </c>
      <c r="F38" s="49"/>
      <c r="G38" s="49"/>
      <c r="H38" s="49"/>
      <c r="I38" s="49"/>
      <c r="J38" s="49"/>
      <c r="K38" s="49"/>
      <c r="L38" s="49"/>
    </row>
    <row r="39" spans="2:12" x14ac:dyDescent="0.15">
      <c r="B39" s="49"/>
      <c r="C39" s="192" t="s">
        <v>173</v>
      </c>
      <c r="D39" s="153"/>
      <c r="E39" s="361"/>
      <c r="F39" s="49"/>
      <c r="G39" s="49"/>
      <c r="H39" s="49"/>
      <c r="I39" s="49"/>
      <c r="J39" s="49"/>
      <c r="K39" s="49"/>
      <c r="L39" s="49"/>
    </row>
    <row r="40" spans="2:12" x14ac:dyDescent="0.15">
      <c r="B40" s="49"/>
      <c r="C40" s="192" t="s">
        <v>174</v>
      </c>
      <c r="D40" s="153"/>
      <c r="E40" s="361"/>
      <c r="F40" s="49"/>
      <c r="G40" s="49"/>
      <c r="H40" s="49"/>
      <c r="I40" s="49"/>
      <c r="J40" s="49"/>
      <c r="K40" s="49"/>
      <c r="L40" s="49"/>
    </row>
    <row r="41" spans="2:12" x14ac:dyDescent="0.15">
      <c r="B41" s="49"/>
      <c r="C41" s="192" t="s">
        <v>111</v>
      </c>
      <c r="D41" s="153"/>
      <c r="E41" s="361"/>
      <c r="F41" s="49"/>
      <c r="G41" s="49"/>
      <c r="H41" s="49"/>
      <c r="I41" s="49"/>
      <c r="J41" s="49"/>
      <c r="K41" s="49"/>
      <c r="L41" s="49"/>
    </row>
    <row r="42" spans="2:12" x14ac:dyDescent="0.15">
      <c r="B42" s="49"/>
      <c r="C42" s="192" t="s">
        <v>175</v>
      </c>
      <c r="D42" s="153"/>
      <c r="E42" s="361"/>
      <c r="F42" s="49"/>
      <c r="G42" s="49"/>
      <c r="H42" s="49"/>
      <c r="I42" s="49"/>
      <c r="J42" s="49"/>
      <c r="K42" s="49"/>
      <c r="L42" s="49"/>
    </row>
    <row r="43" spans="2:12" x14ac:dyDescent="0.15">
      <c r="B43" s="49"/>
      <c r="C43" s="192" t="s">
        <v>176</v>
      </c>
      <c r="D43" s="153"/>
      <c r="E43" s="361"/>
      <c r="F43" s="49"/>
      <c r="G43" s="49"/>
      <c r="H43" s="49"/>
      <c r="I43" s="49"/>
      <c r="J43" s="49"/>
      <c r="K43" s="49"/>
      <c r="L43" s="49"/>
    </row>
    <row r="44" spans="2:12" x14ac:dyDescent="0.15">
      <c r="B44" s="49"/>
      <c r="C44" s="193"/>
      <c r="D44" s="194"/>
      <c r="E44" s="362"/>
      <c r="F44" s="49"/>
      <c r="G44" s="49"/>
      <c r="H44" s="49"/>
      <c r="I44" s="49"/>
      <c r="J44" s="49"/>
      <c r="K44" s="49"/>
      <c r="L44" s="49"/>
    </row>
    <row r="45" spans="2:12" x14ac:dyDescent="0.15">
      <c r="B45" s="49"/>
      <c r="C45" s="153"/>
      <c r="D45" s="153"/>
      <c r="E45" s="195"/>
      <c r="F45" s="49"/>
      <c r="G45" s="49"/>
      <c r="H45" s="49"/>
      <c r="I45" s="49"/>
      <c r="J45" s="49"/>
      <c r="K45" s="49"/>
      <c r="L45" s="49"/>
    </row>
    <row r="46" spans="2:12" x14ac:dyDescent="0.15">
      <c r="B46" s="49"/>
      <c r="C46" s="327" t="s">
        <v>177</v>
      </c>
      <c r="D46" s="328"/>
      <c r="E46" s="144" t="s">
        <v>14</v>
      </c>
      <c r="F46" s="49"/>
      <c r="G46" s="49"/>
      <c r="H46" s="49"/>
      <c r="I46" s="49"/>
      <c r="J46" s="49"/>
      <c r="K46" s="49"/>
      <c r="L46" s="49"/>
    </row>
    <row r="47" spans="2:12" x14ac:dyDescent="0.15">
      <c r="B47" s="49"/>
      <c r="C47" s="327" t="s">
        <v>178</v>
      </c>
      <c r="D47" s="328"/>
      <c r="E47" s="196"/>
      <c r="F47" s="244" t="str">
        <f>$E$38</f>
        <v>&lt;1&gt;</v>
      </c>
      <c r="G47" s="49"/>
      <c r="H47" s="49"/>
      <c r="I47" s="49"/>
      <c r="J47" s="49"/>
      <c r="K47" s="49"/>
      <c r="L47" s="49"/>
    </row>
    <row r="48" spans="2:12" ht="31.15" customHeight="1" x14ac:dyDescent="0.15">
      <c r="B48" s="49"/>
      <c r="C48" s="363" t="s">
        <v>179</v>
      </c>
      <c r="D48" s="364"/>
      <c r="E48" s="197"/>
      <c r="F48" s="49"/>
      <c r="G48" s="49"/>
      <c r="H48" s="49"/>
      <c r="I48" s="49"/>
      <c r="J48" s="49"/>
      <c r="K48" s="49"/>
      <c r="L48" s="49"/>
    </row>
    <row r="49" spans="2:12" x14ac:dyDescent="0.15">
      <c r="B49" s="49"/>
      <c r="C49" s="365" t="str">
        <f>IF(E48&lt;&gt;"","Adjusted threshold applied","Threshold applied")</f>
        <v>Threshold applied</v>
      </c>
      <c r="D49" s="366"/>
      <c r="E49" s="198">
        <f>$E$47+$E$48</f>
        <v>0</v>
      </c>
      <c r="F49" s="49"/>
      <c r="G49" s="49"/>
      <c r="H49" s="49"/>
      <c r="I49" s="49"/>
      <c r="J49" s="49"/>
      <c r="K49" s="49"/>
      <c r="L49" s="49"/>
    </row>
    <row r="50" spans="2:12" x14ac:dyDescent="0.15">
      <c r="B50" s="49"/>
      <c r="C50" s="153"/>
      <c r="D50" s="153"/>
      <c r="E50" s="195"/>
      <c r="F50" s="49"/>
      <c r="G50" s="49"/>
      <c r="H50" s="49"/>
      <c r="I50" s="49"/>
      <c r="J50" s="49"/>
      <c r="K50" s="49"/>
      <c r="L50" s="49"/>
    </row>
    <row r="51" spans="2:12" x14ac:dyDescent="0.15">
      <c r="B51" s="49"/>
      <c r="C51" s="49"/>
      <c r="D51" s="49"/>
      <c r="E51" s="49"/>
      <c r="F51" s="49"/>
      <c r="G51" s="49"/>
      <c r="H51" s="49"/>
      <c r="I51" s="49"/>
      <c r="J51" s="49"/>
      <c r="K51" s="49"/>
      <c r="L51" s="49"/>
    </row>
    <row r="52" spans="2:12" x14ac:dyDescent="0.15">
      <c r="B52" s="179" t="s">
        <v>180</v>
      </c>
      <c r="C52" s="337" t="s">
        <v>181</v>
      </c>
      <c r="D52" s="346"/>
      <c r="E52" s="346"/>
      <c r="F52" s="346"/>
      <c r="G52" s="338"/>
      <c r="H52" s="49"/>
      <c r="I52" s="49"/>
      <c r="J52" s="49"/>
      <c r="K52" s="49"/>
      <c r="L52" s="49"/>
    </row>
    <row r="53" spans="2:12" x14ac:dyDescent="0.15">
      <c r="B53" s="49"/>
      <c r="C53" s="49"/>
      <c r="D53" s="49"/>
      <c r="E53" s="49"/>
      <c r="F53" s="49"/>
      <c r="G53" s="49"/>
      <c r="H53" s="49"/>
      <c r="I53" s="49"/>
      <c r="J53" s="49"/>
      <c r="K53" s="49"/>
      <c r="L53" s="49"/>
    </row>
    <row r="54" spans="2:12" x14ac:dyDescent="0.15">
      <c r="B54" s="49"/>
      <c r="C54" s="331" t="s">
        <v>115</v>
      </c>
      <c r="D54" s="332"/>
      <c r="E54" s="199" t="s">
        <v>118</v>
      </c>
      <c r="F54" s="176"/>
      <c r="G54" s="49"/>
      <c r="H54" s="49"/>
      <c r="I54" s="49"/>
      <c r="J54" s="49"/>
      <c r="K54" s="49"/>
      <c r="L54" s="49"/>
    </row>
    <row r="55" spans="2:12" x14ac:dyDescent="0.15">
      <c r="B55" s="49"/>
      <c r="C55" s="327" t="s">
        <v>182</v>
      </c>
      <c r="D55" s="328"/>
      <c r="E55" s="200">
        <f>$E$29</f>
        <v>0</v>
      </c>
      <c r="F55" s="201" t="s">
        <v>183</v>
      </c>
      <c r="G55" s="49"/>
      <c r="H55" s="49"/>
      <c r="I55" s="49"/>
      <c r="J55" s="49"/>
      <c r="K55" s="49"/>
      <c r="L55" s="49"/>
    </row>
    <row r="56" spans="2:12" x14ac:dyDescent="0.15">
      <c r="B56" s="49"/>
      <c r="C56" s="327" t="s">
        <v>147</v>
      </c>
      <c r="D56" s="328"/>
      <c r="E56" s="202">
        <f>$E$14</f>
        <v>0</v>
      </c>
      <c r="F56" s="201" t="s">
        <v>184</v>
      </c>
      <c r="G56" s="49"/>
      <c r="H56" s="49"/>
      <c r="I56" s="49"/>
      <c r="J56" s="49"/>
      <c r="K56" s="49"/>
      <c r="L56" s="49"/>
    </row>
    <row r="57" spans="2:12" x14ac:dyDescent="0.15">
      <c r="B57" s="49"/>
      <c r="C57" s="327" t="s">
        <v>185</v>
      </c>
      <c r="D57" s="328"/>
      <c r="E57" s="200">
        <f>$E$56-$E$55</f>
        <v>0</v>
      </c>
      <c r="F57" s="201" t="s">
        <v>186</v>
      </c>
      <c r="G57" s="49"/>
      <c r="H57" s="49"/>
      <c r="I57" s="49"/>
      <c r="J57" s="49"/>
      <c r="K57" s="49"/>
      <c r="L57" s="49"/>
    </row>
    <row r="58" spans="2:12" x14ac:dyDescent="0.15">
      <c r="B58" s="49"/>
      <c r="C58" s="329" t="s">
        <v>187</v>
      </c>
      <c r="D58" s="330"/>
      <c r="E58" s="203" t="str">
        <f>IF(ABS($E$57)&gt;$E$49,"No, Investigate","Yes")</f>
        <v>Yes</v>
      </c>
      <c r="F58" s="176"/>
      <c r="G58" s="49"/>
      <c r="H58" s="49"/>
      <c r="I58" s="49"/>
      <c r="J58" s="49"/>
      <c r="K58" s="49"/>
      <c r="L58" s="49"/>
    </row>
    <row r="59" spans="2:12" x14ac:dyDescent="0.15">
      <c r="B59" s="49"/>
      <c r="C59" s="49"/>
      <c r="D59" s="49"/>
      <c r="E59" s="49"/>
      <c r="F59" s="49"/>
      <c r="G59" s="49"/>
      <c r="H59" s="49"/>
      <c r="I59" s="49"/>
      <c r="J59" s="49"/>
      <c r="K59" s="49"/>
      <c r="L59" s="49"/>
    </row>
    <row r="60" spans="2:12" x14ac:dyDescent="0.15">
      <c r="B60" s="179" t="s">
        <v>188</v>
      </c>
      <c r="C60" s="204" t="s">
        <v>189</v>
      </c>
      <c r="D60" s="205"/>
      <c r="E60" s="205"/>
      <c r="F60" s="205"/>
      <c r="G60" s="206"/>
      <c r="H60" s="49"/>
      <c r="I60" s="49"/>
      <c r="J60" s="49"/>
      <c r="K60" s="49"/>
      <c r="L60" s="49"/>
    </row>
    <row r="61" spans="2:12" x14ac:dyDescent="0.15">
      <c r="B61" s="49"/>
      <c r="C61" s="49"/>
      <c r="D61" s="49"/>
      <c r="E61" s="49"/>
      <c r="F61" s="49"/>
      <c r="G61" s="49"/>
      <c r="H61" s="49"/>
      <c r="I61" s="49"/>
      <c r="J61" s="49"/>
      <c r="K61" s="49"/>
      <c r="L61" s="49"/>
    </row>
    <row r="62" spans="2:12" x14ac:dyDescent="0.15">
      <c r="B62" s="49"/>
      <c r="C62" s="331" t="s">
        <v>190</v>
      </c>
      <c r="D62" s="332"/>
      <c r="E62" s="199" t="s">
        <v>118</v>
      </c>
      <c r="F62" s="207" t="s">
        <v>191</v>
      </c>
      <c r="G62" s="180" t="s">
        <v>192</v>
      </c>
      <c r="H62" s="49"/>
      <c r="I62" s="49"/>
      <c r="J62" s="49"/>
      <c r="K62" s="49"/>
      <c r="L62" s="49"/>
    </row>
    <row r="63" spans="2:12" x14ac:dyDescent="0.15">
      <c r="B63" s="49"/>
      <c r="C63" s="342"/>
      <c r="D63" s="343"/>
      <c r="E63" s="208"/>
      <c r="F63" s="209"/>
      <c r="G63" s="210"/>
      <c r="H63" s="49"/>
      <c r="I63" s="49"/>
      <c r="J63" s="49"/>
      <c r="K63" s="49"/>
      <c r="L63" s="49"/>
    </row>
    <row r="64" spans="2:12" x14ac:dyDescent="0.15">
      <c r="B64" s="49"/>
      <c r="C64" s="344"/>
      <c r="D64" s="345"/>
      <c r="E64" s="208"/>
      <c r="F64" s="209"/>
      <c r="G64" s="210"/>
      <c r="H64" s="49"/>
      <c r="I64" s="49"/>
      <c r="J64" s="49"/>
      <c r="K64" s="49"/>
      <c r="L64" s="49"/>
    </row>
    <row r="65" spans="2:12" x14ac:dyDescent="0.15">
      <c r="B65" s="49"/>
      <c r="C65" s="344"/>
      <c r="D65" s="345"/>
      <c r="E65" s="208"/>
      <c r="F65" s="209"/>
      <c r="G65" s="210"/>
      <c r="H65" s="49"/>
      <c r="I65" s="49"/>
      <c r="J65" s="49"/>
      <c r="K65" s="49"/>
      <c r="L65" s="49"/>
    </row>
    <row r="66" spans="2:12" x14ac:dyDescent="0.15">
      <c r="B66" s="49"/>
      <c r="C66" s="344"/>
      <c r="D66" s="345"/>
      <c r="E66" s="208"/>
      <c r="F66" s="209"/>
      <c r="G66" s="210"/>
      <c r="H66" s="49"/>
      <c r="I66" s="49"/>
      <c r="J66" s="49"/>
      <c r="K66" s="49"/>
      <c r="L66" s="49"/>
    </row>
    <row r="67" spans="2:12" x14ac:dyDescent="0.15">
      <c r="B67" s="49"/>
      <c r="C67" s="344"/>
      <c r="D67" s="345"/>
      <c r="E67" s="208"/>
      <c r="F67" s="209"/>
      <c r="G67" s="210"/>
      <c r="H67" s="49"/>
      <c r="I67" s="49"/>
      <c r="J67" s="49"/>
      <c r="K67" s="49"/>
      <c r="L67" s="49"/>
    </row>
    <row r="68" spans="2:12" x14ac:dyDescent="0.15">
      <c r="B68" s="49"/>
      <c r="C68" s="325" t="s">
        <v>193</v>
      </c>
      <c r="D68" s="326"/>
      <c r="E68" s="211">
        <f>SUM($E$63:$E$67)</f>
        <v>0</v>
      </c>
      <c r="F68" s="176"/>
      <c r="G68" s="176"/>
      <c r="H68" s="49"/>
      <c r="I68" s="49"/>
      <c r="J68" s="49"/>
      <c r="K68" s="49"/>
      <c r="L68" s="49"/>
    </row>
    <row r="69" spans="2:12" x14ac:dyDescent="0.15">
      <c r="B69" s="49"/>
      <c r="C69" s="325" t="s">
        <v>194</v>
      </c>
      <c r="D69" s="326"/>
      <c r="E69" s="212">
        <f>$E$57</f>
        <v>0</v>
      </c>
      <c r="F69" s="176"/>
      <c r="G69" s="213" t="str">
        <f>IF(ISERROR(MATCH("Yes",G63:G67,0)),"","Enter all identified misstatements in the Findings module/Evaluation of Misstatements form")</f>
        <v/>
      </c>
      <c r="H69" s="49"/>
      <c r="I69" s="49"/>
      <c r="J69" s="49"/>
      <c r="K69" s="49"/>
      <c r="L69" s="49"/>
    </row>
    <row r="70" spans="2:12" x14ac:dyDescent="0.15">
      <c r="B70" s="49"/>
      <c r="C70" s="325" t="s">
        <v>195</v>
      </c>
      <c r="D70" s="326"/>
      <c r="E70" s="211">
        <f>ABS($E$68-$E$69)</f>
        <v>0</v>
      </c>
      <c r="F70" s="176"/>
      <c r="G70" s="176"/>
      <c r="H70" s="49"/>
      <c r="I70" s="49"/>
      <c r="J70" s="49"/>
      <c r="K70" s="49"/>
      <c r="L70" s="49"/>
    </row>
    <row r="71" spans="2:12" x14ac:dyDescent="0.15">
      <c r="B71" s="49"/>
      <c r="C71" s="49"/>
      <c r="D71" s="49"/>
      <c r="E71" s="49"/>
      <c r="F71" s="49"/>
      <c r="G71" s="49"/>
      <c r="H71" s="49"/>
      <c r="I71" s="49"/>
      <c r="J71" s="49"/>
      <c r="K71" s="49"/>
      <c r="L71" s="49"/>
    </row>
    <row r="72" spans="2:12" x14ac:dyDescent="0.15">
      <c r="B72" s="179" t="s">
        <v>196</v>
      </c>
      <c r="C72" s="337" t="s">
        <v>197</v>
      </c>
      <c r="D72" s="338"/>
      <c r="E72" s="144" t="s">
        <v>14</v>
      </c>
      <c r="F72" s="339"/>
      <c r="G72" s="339"/>
      <c r="H72" s="49"/>
      <c r="I72" s="49"/>
      <c r="J72" s="49"/>
      <c r="K72" s="49"/>
      <c r="L72" s="49"/>
    </row>
    <row r="73" spans="2:12" x14ac:dyDescent="0.15">
      <c r="B73" s="49"/>
      <c r="C73" s="49"/>
      <c r="D73" s="49"/>
      <c r="E73" s="49"/>
      <c r="F73" s="49"/>
      <c r="G73" s="49"/>
      <c r="H73" s="49"/>
      <c r="I73" s="49"/>
      <c r="J73" s="49"/>
      <c r="K73" s="49"/>
      <c r="L73" s="49"/>
    </row>
    <row r="74" spans="2:12" x14ac:dyDescent="0.15">
      <c r="B74" s="49"/>
      <c r="C74" s="331" t="s">
        <v>115</v>
      </c>
      <c r="D74" s="332"/>
      <c r="E74" s="199" t="s">
        <v>118</v>
      </c>
      <c r="F74" s="214" t="s">
        <v>198</v>
      </c>
      <c r="G74" s="176"/>
      <c r="H74" s="49"/>
      <c r="I74" s="49"/>
      <c r="J74" s="49"/>
      <c r="K74" s="49"/>
      <c r="L74" s="49"/>
    </row>
    <row r="75" spans="2:12" x14ac:dyDescent="0.15">
      <c r="B75" s="49"/>
      <c r="C75" s="327" t="s">
        <v>199</v>
      </c>
      <c r="D75" s="328"/>
      <c r="E75" s="215" t="str">
        <f>IF($E$72="Yes",$E$29,"")</f>
        <v/>
      </c>
      <c r="F75" s="216" t="s">
        <v>183</v>
      </c>
      <c r="G75" s="176"/>
      <c r="H75" s="49"/>
      <c r="I75" s="49"/>
      <c r="J75" s="49"/>
      <c r="K75" s="49"/>
      <c r="L75" s="49"/>
    </row>
    <row r="76" spans="2:12" x14ac:dyDescent="0.15">
      <c r="B76" s="49"/>
      <c r="C76" s="327" t="s">
        <v>200</v>
      </c>
      <c r="D76" s="328"/>
      <c r="E76" s="217"/>
      <c r="F76" s="216"/>
      <c r="G76" s="176"/>
      <c r="H76" s="49"/>
      <c r="I76" s="49"/>
      <c r="J76" s="49"/>
      <c r="K76" s="49"/>
      <c r="L76" s="49"/>
    </row>
    <row r="77" spans="2:12" x14ac:dyDescent="0.15">
      <c r="B77" s="49"/>
      <c r="C77" s="218"/>
      <c r="D77" s="219"/>
      <c r="E77" s="220"/>
      <c r="F77" s="221"/>
      <c r="G77" s="222"/>
      <c r="H77" s="49"/>
      <c r="I77" s="49"/>
      <c r="J77" s="49"/>
      <c r="K77" s="49"/>
      <c r="L77" s="49"/>
    </row>
    <row r="78" spans="2:12" x14ac:dyDescent="0.15">
      <c r="B78" s="49"/>
      <c r="C78" s="340"/>
      <c r="D78" s="341"/>
      <c r="E78" s="220"/>
      <c r="F78" s="221"/>
      <c r="G78" s="176"/>
      <c r="H78" s="49"/>
      <c r="I78" s="49"/>
      <c r="J78" s="49"/>
      <c r="K78" s="49"/>
      <c r="L78" s="49"/>
    </row>
    <row r="79" spans="2:12" x14ac:dyDescent="0.15">
      <c r="B79" s="49"/>
      <c r="C79" s="340"/>
      <c r="D79" s="341"/>
      <c r="E79" s="220"/>
      <c r="F79" s="221"/>
      <c r="G79" s="176"/>
      <c r="H79" s="49"/>
      <c r="I79" s="49"/>
      <c r="J79" s="49"/>
      <c r="K79" s="49"/>
      <c r="L79" s="49"/>
    </row>
    <row r="80" spans="2:12" x14ac:dyDescent="0.15">
      <c r="B80" s="49"/>
      <c r="C80" s="340"/>
      <c r="D80" s="341"/>
      <c r="E80" s="220"/>
      <c r="F80" s="221"/>
      <c r="G80" s="176"/>
      <c r="H80" s="49"/>
      <c r="I80" s="49"/>
      <c r="J80" s="49"/>
      <c r="K80" s="49"/>
      <c r="L80" s="49"/>
    </row>
    <row r="81" spans="2:12" x14ac:dyDescent="0.15">
      <c r="B81" s="49"/>
      <c r="C81" s="327" t="s">
        <v>201</v>
      </c>
      <c r="D81" s="328"/>
      <c r="E81" s="200">
        <f>SUM($E$75:$E$80)</f>
        <v>0</v>
      </c>
      <c r="F81" s="216"/>
      <c r="G81" s="176"/>
      <c r="H81" s="49"/>
      <c r="I81" s="49"/>
      <c r="J81" s="49"/>
      <c r="K81" s="49"/>
      <c r="L81" s="49"/>
    </row>
    <row r="82" spans="2:12" x14ac:dyDescent="0.15">
      <c r="B82" s="49"/>
      <c r="C82" s="327" t="s">
        <v>147</v>
      </c>
      <c r="D82" s="328"/>
      <c r="E82" s="202">
        <f>$E$14</f>
        <v>0</v>
      </c>
      <c r="F82" s="216" t="s">
        <v>184</v>
      </c>
      <c r="G82" s="176"/>
      <c r="H82" s="49"/>
      <c r="I82" s="49"/>
      <c r="J82" s="49"/>
      <c r="K82" s="49"/>
      <c r="L82" s="49"/>
    </row>
    <row r="83" spans="2:12" x14ac:dyDescent="0.15">
      <c r="B83" s="49"/>
      <c r="C83" s="327" t="s">
        <v>185</v>
      </c>
      <c r="D83" s="328"/>
      <c r="E83" s="200" t="str">
        <f>IF($E$72="Yes",$E$82-$E$81,"")</f>
        <v/>
      </c>
      <c r="F83" s="176"/>
      <c r="G83" s="176"/>
      <c r="H83" s="49"/>
      <c r="I83" s="49"/>
      <c r="J83" s="49"/>
      <c r="K83" s="49"/>
      <c r="L83" s="49"/>
    </row>
    <row r="84" spans="2:12" x14ac:dyDescent="0.15">
      <c r="B84" s="49"/>
      <c r="C84" s="329" t="s">
        <v>187</v>
      </c>
      <c r="D84" s="330"/>
      <c r="E84" s="203" t="str">
        <f>IF($E$72="Yes",IF(ABS($E$83)&gt;$E$49,"No, Investigate","Yes"),"")</f>
        <v/>
      </c>
      <c r="F84" s="176"/>
      <c r="G84" s="176"/>
      <c r="H84" s="49"/>
      <c r="I84" s="49"/>
      <c r="J84" s="49"/>
      <c r="K84" s="49"/>
      <c r="L84" s="49"/>
    </row>
    <row r="85" spans="2:12" x14ac:dyDescent="0.15">
      <c r="B85" s="49"/>
      <c r="C85" s="176"/>
      <c r="D85" s="176"/>
      <c r="E85" s="176"/>
      <c r="F85" s="176"/>
      <c r="G85" s="176"/>
      <c r="H85" s="49"/>
      <c r="I85" s="49"/>
      <c r="J85" s="49"/>
      <c r="K85" s="49"/>
      <c r="L85" s="49"/>
    </row>
    <row r="86" spans="2:12" x14ac:dyDescent="0.15">
      <c r="B86" s="49"/>
      <c r="C86" s="331" t="s">
        <v>202</v>
      </c>
      <c r="D86" s="332"/>
      <c r="E86" s="199" t="s">
        <v>118</v>
      </c>
      <c r="F86" s="207" t="s">
        <v>191</v>
      </c>
      <c r="G86" s="207" t="s">
        <v>192</v>
      </c>
      <c r="H86" s="49"/>
      <c r="I86" s="49"/>
      <c r="J86" s="49"/>
      <c r="K86" s="49"/>
      <c r="L86" s="49"/>
    </row>
    <row r="87" spans="2:12" x14ac:dyDescent="0.15">
      <c r="B87" s="49"/>
      <c r="C87" s="333"/>
      <c r="D87" s="334"/>
      <c r="E87" s="183"/>
      <c r="F87" s="182"/>
      <c r="G87" s="223"/>
      <c r="H87" s="49"/>
      <c r="I87" s="49"/>
      <c r="J87" s="49"/>
      <c r="K87" s="49"/>
      <c r="L87" s="49"/>
    </row>
    <row r="88" spans="2:12" x14ac:dyDescent="0.15">
      <c r="B88" s="49"/>
      <c r="C88" s="335"/>
      <c r="D88" s="336"/>
      <c r="E88" s="183"/>
      <c r="F88" s="182"/>
      <c r="G88" s="223"/>
      <c r="H88" s="49"/>
      <c r="I88" s="49"/>
      <c r="J88" s="49"/>
      <c r="K88" s="49"/>
      <c r="L88" s="49"/>
    </row>
    <row r="89" spans="2:12" x14ac:dyDescent="0.15">
      <c r="B89" s="49"/>
      <c r="C89" s="325" t="s">
        <v>193</v>
      </c>
      <c r="D89" s="326"/>
      <c r="E89" s="211">
        <f>SUM($E$87:$E$88)</f>
        <v>0</v>
      </c>
      <c r="F89" s="176"/>
      <c r="G89" s="176"/>
      <c r="H89" s="49"/>
      <c r="I89" s="49"/>
      <c r="J89" s="49"/>
      <c r="K89" s="49"/>
      <c r="L89" s="49"/>
    </row>
    <row r="90" spans="2:12" x14ac:dyDescent="0.15">
      <c r="B90" s="49"/>
      <c r="C90" s="325" t="s">
        <v>194</v>
      </c>
      <c r="D90" s="326"/>
      <c r="E90" s="212" t="str">
        <f>$E$83</f>
        <v/>
      </c>
      <c r="F90" s="176"/>
      <c r="G90" s="213" t="str">
        <f>IF(ISERROR(MATCH("Yes",G87:G88,0)),"","Enter all identified misstatements in the Findings module/Evaluation of Misstatements form")</f>
        <v/>
      </c>
      <c r="H90" s="49"/>
      <c r="I90" s="49"/>
      <c r="J90" s="49"/>
      <c r="K90" s="49"/>
      <c r="L90" s="49"/>
    </row>
    <row r="91" spans="2:12" x14ac:dyDescent="0.15">
      <c r="B91" s="49"/>
      <c r="C91" s="325" t="s">
        <v>195</v>
      </c>
      <c r="D91" s="326"/>
      <c r="E91" s="211" t="str">
        <f>IF($E$72="Yes",ABS($E$89-$E$90),"")</f>
        <v/>
      </c>
      <c r="F91" s="176"/>
      <c r="G91" s="176"/>
      <c r="H91" s="49"/>
      <c r="I91" s="49"/>
      <c r="J91" s="49"/>
      <c r="K91" s="49"/>
      <c r="L91" s="49"/>
    </row>
    <row r="92" spans="2:12" x14ac:dyDescent="0.15">
      <c r="B92" s="49"/>
      <c r="C92" s="224"/>
      <c r="D92" s="224"/>
      <c r="E92" s="176"/>
      <c r="F92" s="176"/>
      <c r="G92" s="176"/>
      <c r="H92" s="49"/>
      <c r="I92" s="49"/>
      <c r="J92" s="49"/>
      <c r="K92" s="49"/>
      <c r="L92" s="49"/>
    </row>
    <row r="93" spans="2:12" x14ac:dyDescent="0.15">
      <c r="B93" s="49"/>
      <c r="C93" s="114"/>
      <c r="D93" s="114"/>
      <c r="E93" s="114"/>
      <c r="F93" s="114"/>
      <c r="G93" s="49"/>
      <c r="H93" s="49"/>
      <c r="I93" s="49"/>
      <c r="J93" s="49"/>
      <c r="K93" s="49"/>
      <c r="L93" s="49"/>
    </row>
  </sheetData>
  <mergeCells count="54">
    <mergeCell ref="C26:D26"/>
    <mergeCell ref="D9:G9"/>
    <mergeCell ref="C13:D13"/>
    <mergeCell ref="C14:D14"/>
    <mergeCell ref="C16:G16"/>
    <mergeCell ref="C18:D18"/>
    <mergeCell ref="C20:D20"/>
    <mergeCell ref="C21:D21"/>
    <mergeCell ref="C25:D25"/>
    <mergeCell ref="C19:D19"/>
    <mergeCell ref="C52:G52"/>
    <mergeCell ref="C28:D28"/>
    <mergeCell ref="C29:D29"/>
    <mergeCell ref="C31:G31"/>
    <mergeCell ref="C33:G33"/>
    <mergeCell ref="C35:G35"/>
    <mergeCell ref="C37:E37"/>
    <mergeCell ref="E38:E44"/>
    <mergeCell ref="C46:D46"/>
    <mergeCell ref="C47:D47"/>
    <mergeCell ref="C48:D48"/>
    <mergeCell ref="C49:D49"/>
    <mergeCell ref="C68:D68"/>
    <mergeCell ref="C54:D54"/>
    <mergeCell ref="C55:D55"/>
    <mergeCell ref="C56:D56"/>
    <mergeCell ref="C57:D57"/>
    <mergeCell ref="C58:D58"/>
    <mergeCell ref="C62:D62"/>
    <mergeCell ref="C63:D63"/>
    <mergeCell ref="C64:D64"/>
    <mergeCell ref="C65:D65"/>
    <mergeCell ref="C66:D66"/>
    <mergeCell ref="C67:D67"/>
    <mergeCell ref="C82:D82"/>
    <mergeCell ref="C69:D69"/>
    <mergeCell ref="C70:D70"/>
    <mergeCell ref="C72:D72"/>
    <mergeCell ref="F72:G72"/>
    <mergeCell ref="C74:D74"/>
    <mergeCell ref="C75:D75"/>
    <mergeCell ref="C76:D76"/>
    <mergeCell ref="C78:D78"/>
    <mergeCell ref="C79:D79"/>
    <mergeCell ref="C80:D80"/>
    <mergeCell ref="C81:D81"/>
    <mergeCell ref="C90:D90"/>
    <mergeCell ref="C91:D91"/>
    <mergeCell ref="C83:D83"/>
    <mergeCell ref="C84:D84"/>
    <mergeCell ref="C86:D86"/>
    <mergeCell ref="C87:D87"/>
    <mergeCell ref="C88:D88"/>
    <mergeCell ref="C89:D89"/>
  </mergeCells>
  <conditionalFormatting sqref="E49">
    <cfRule type="cellIs" dxfId="80" priority="34" operator="equal">
      <formula>"Invalid selection"</formula>
    </cfRule>
  </conditionalFormatting>
  <conditionalFormatting sqref="E58">
    <cfRule type="cellIs" dxfId="79" priority="31" operator="equal">
      <formula>"Invalid selection"</formula>
    </cfRule>
    <cfRule type="containsText" dxfId="78" priority="32" operator="containsText" text="Yes">
      <formula>NOT(ISERROR(SEARCH("Yes",E58)))</formula>
    </cfRule>
    <cfRule type="containsText" dxfId="77" priority="33" operator="containsText" text="No">
      <formula>NOT(ISERROR(SEARCH("No",E58)))</formula>
    </cfRule>
  </conditionalFormatting>
  <conditionalFormatting sqref="E70">
    <cfRule type="cellIs" dxfId="76" priority="27" operator="notEqual">
      <formula>0</formula>
    </cfRule>
  </conditionalFormatting>
  <conditionalFormatting sqref="E84">
    <cfRule type="containsText" dxfId="75" priority="24" operator="containsText" text="Yes">
      <formula>NOT(ISERROR(SEARCH("Yes",E84)))</formula>
    </cfRule>
    <cfRule type="containsText" dxfId="74" priority="25" operator="containsText" text="No">
      <formula>NOT(ISERROR(SEARCH("No",E84)))</formula>
    </cfRule>
  </conditionalFormatting>
  <conditionalFormatting sqref="E91">
    <cfRule type="expression" dxfId="73" priority="43">
      <formula>AND(#REF!&lt;&gt;"",#REF!&lt;&gt;0)</formula>
    </cfRule>
  </conditionalFormatting>
  <conditionalFormatting sqref="E47">
    <cfRule type="cellIs" dxfId="72" priority="23" operator="equal">
      <formula>"Invalid selection"</formula>
    </cfRule>
  </conditionalFormatting>
  <conditionalFormatting sqref="G63:G67">
    <cfRule type="cellIs" dxfId="71" priority="28" operator="equal">
      <formula>"No"</formula>
    </cfRule>
    <cfRule type="cellIs" dxfId="70" priority="29" operator="equal">
      <formula>"Yes"</formula>
    </cfRule>
    <cfRule type="cellIs" dxfId="69" priority="30" operator="equal">
      <formula>""</formula>
    </cfRule>
  </conditionalFormatting>
  <conditionalFormatting sqref="G87:G88">
    <cfRule type="cellIs" dxfId="68" priority="21" operator="equal">
      <formula>"No"</formula>
    </cfRule>
    <cfRule type="cellIs" dxfId="67" priority="22" operator="equal">
      <formula>"Yes"</formula>
    </cfRule>
    <cfRule type="cellIs" dxfId="66" priority="26" operator="equal">
      <formula>""</formula>
    </cfRule>
  </conditionalFormatting>
  <conditionalFormatting sqref="E46">
    <cfRule type="containsText" dxfId="65" priority="11" operator="containsText" text="Improperly">
      <formula>NOT(ISERROR(SEARCH("Improperly",E46)))</formula>
    </cfRule>
    <cfRule type="containsText" dxfId="64" priority="12" operator="containsText" text="Properly">
      <formula>NOT(ISERROR(SEARCH("Properly",E46)))</formula>
    </cfRule>
  </conditionalFormatting>
  <conditionalFormatting sqref="E72">
    <cfRule type="containsText" dxfId="63" priority="9" operator="containsText" text="Improperly">
      <formula>NOT(ISERROR(SEARCH("Improperly",E72)))</formula>
    </cfRule>
    <cfRule type="containsText" dxfId="62" priority="10" operator="containsText" text="Properly">
      <formula>NOT(ISERROR(SEARCH("Properly",E72)))</formula>
    </cfRule>
  </conditionalFormatting>
  <conditionalFormatting sqref="G3">
    <cfRule type="containsText" dxfId="61" priority="7" operator="containsText" text="No ">
      <formula>NOT(ISERROR(SEARCH("No ",G3)))</formula>
    </cfRule>
    <cfRule type="containsText" dxfId="60" priority="8" operator="containsText" text="Differences">
      <formula>NOT(ISERROR(SEARCH("Differences",G3)))</formula>
    </cfRule>
  </conditionalFormatting>
  <conditionalFormatting sqref="G5">
    <cfRule type="containsText" dxfId="59" priority="5" operator="containsText" text="Yes">
      <formula>NOT(ISERROR(SEARCH("Yes",G5)))</formula>
    </cfRule>
    <cfRule type="containsText" dxfId="58" priority="6" operator="containsText" text="No">
      <formula>NOT(ISERROR(SEARCH("No",G5)))</formula>
    </cfRule>
  </conditionalFormatting>
  <conditionalFormatting sqref="G4">
    <cfRule type="containsText" dxfId="57" priority="1" operator="containsText" text="Other">
      <formula>NOT(ISERROR(SEARCH("Other",G4)))</formula>
    </cfRule>
    <cfRule type="containsText" dxfId="56" priority="2" operator="containsText" text="&gt; CTT">
      <formula>NOT(ISERROR(SEARCH("&gt; CTT",G4)))</formula>
    </cfRule>
    <cfRule type="containsText" dxfId="55" priority="3" operator="containsText" text="Fraud">
      <formula>NOT(ISERROR(SEARCH("Fraud",G4)))</formula>
    </cfRule>
    <cfRule type="containsText" dxfId="54" priority="4" operator="containsText" text="None">
      <formula>NOT(ISERROR(SEARCH("None",G4)))</formula>
    </cfRule>
  </conditionalFormatting>
  <dataValidations count="1">
    <dataValidation type="list" allowBlank="1" showInputMessage="1" showErrorMessage="1" sqref="G63:G67 G87:G88" xr:uid="{00000000-0002-0000-0300-000000000000}">
      <formula1>"Yes,No"</formula1>
    </dataValidation>
  </dataValidations>
  <hyperlinks>
    <hyperlink ref="C33:G33" location="'2E. SAP IPE'!A1" display="See IPE tab for documentation of the work performed to confirm the completeness and accuracy of IPE." xr:uid="{00000000-0004-0000-0300-000000000000}"/>
    <hyperlink ref="I2" location="'0. Summary Tab'!A1" display="Click here to return to Summary tab" xr:uid="{5A409BE0-6D34-4396-9F65-61E04BD88104}"/>
  </hyperlinks>
  <pageMargins left="0.75" right="0.75" top="1" bottom="1" header="0.5" footer="0.5"/>
  <pageSetup scale="30" fitToWidth="0" orientation="landscape" r:id="rId1"/>
  <headerFooter alignWithMargins="0"/>
  <customProperties>
    <customPr name="EpmWorksheetKeyString_GUID" r:id="rId2"/>
  </customProperties>
  <drawing r:id="rId3"/>
  <legacyDrawing r:id="rId4"/>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1000000}">
          <x14:formula1>
            <xm:f>'Parameters (Hide)'!$C$1:$C$3</xm:f>
          </x14:formula1>
          <xm:sqref>G5 E46 E72</xm:sqref>
        </x14:dataValidation>
        <x14:dataValidation type="list" allowBlank="1" showInputMessage="1" showErrorMessage="1" xr:uid="{00000000-0002-0000-0300-000002000000}">
          <x14:formula1>
            <xm:f>'Parameters (Hide)'!$G$1:$G$10</xm:f>
          </x14:formula1>
          <xm:sqref>G4</xm:sqref>
        </x14:dataValidation>
        <x14:dataValidation type="list" allowBlank="1" showInputMessage="1" showErrorMessage="1" xr:uid="{00000000-0002-0000-0300-000003000000}">
          <x14:formula1>
            <xm:f>'Parameters (Hide)'!$F$1:$F$3</xm:f>
          </x14:formula1>
          <xm:sqref>G3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B2:L92"/>
  <sheetViews>
    <sheetView showGridLines="0" zoomScaleNormal="100" workbookViewId="0"/>
  </sheetViews>
  <sheetFormatPr defaultColWidth="8.796875" defaultRowHeight="10.5" x14ac:dyDescent="0.15"/>
  <cols>
    <col min="1" max="1" width="2.19921875" style="33" bestFit="1" customWidth="1"/>
    <col min="2" max="2" width="6.69921875" style="33" bestFit="1" customWidth="1"/>
    <col min="3" max="4" width="16" style="33" customWidth="1"/>
    <col min="5" max="5" width="12.69921875" style="33" customWidth="1"/>
    <col min="6" max="6" width="25.69921875" style="33" customWidth="1"/>
    <col min="7" max="7" width="34.19921875" style="33" customWidth="1"/>
    <col min="8" max="8" width="4.69921875" style="33" customWidth="1"/>
    <col min="9" max="11" width="15.59765625" style="33" customWidth="1"/>
    <col min="12" max="12" width="4.69921875" style="33" customWidth="1"/>
    <col min="13" max="16384" width="8.796875" style="33"/>
  </cols>
  <sheetData>
    <row r="2" spans="2:12" x14ac:dyDescent="0.15">
      <c r="B2" s="49"/>
      <c r="C2" s="49"/>
      <c r="D2" s="49"/>
      <c r="E2" s="49"/>
      <c r="F2" s="49"/>
      <c r="G2" s="49"/>
      <c r="H2" s="49"/>
      <c r="I2" s="140" t="s">
        <v>25</v>
      </c>
      <c r="J2" s="49"/>
      <c r="K2" s="49"/>
      <c r="L2" s="49"/>
    </row>
    <row r="3" spans="2:12" x14ac:dyDescent="0.15">
      <c r="B3" s="3" t="s">
        <v>1</v>
      </c>
      <c r="C3" s="141" t="str">
        <f>'0. Summary Tab'!$C$5</f>
        <v>ABC Inc.</v>
      </c>
      <c r="D3" s="66"/>
      <c r="E3" s="49"/>
      <c r="F3" s="143" t="s">
        <v>26</v>
      </c>
      <c r="G3" s="248" t="s">
        <v>14</v>
      </c>
      <c r="H3" s="49"/>
      <c r="I3" s="145" t="s">
        <v>3</v>
      </c>
      <c r="J3" s="145" t="s">
        <v>4</v>
      </c>
      <c r="K3" s="146" t="s">
        <v>5</v>
      </c>
      <c r="L3" s="49"/>
    </row>
    <row r="4" spans="2:12" x14ac:dyDescent="0.15">
      <c r="B4" s="6" t="s">
        <v>6</v>
      </c>
      <c r="C4" s="275" t="str">
        <f>'0. Summary Tab'!$C$6</f>
        <v>12/31/20XX</v>
      </c>
      <c r="D4" s="172"/>
      <c r="E4" s="49"/>
      <c r="F4" s="143" t="s">
        <v>27</v>
      </c>
      <c r="G4" s="249" t="s">
        <v>14</v>
      </c>
      <c r="H4" s="49"/>
      <c r="I4" s="142">
        <f>'0. Summary Tab'!$E$6</f>
        <v>0</v>
      </c>
      <c r="J4" s="142">
        <f>'0. Summary Tab'!$F$6</f>
        <v>0</v>
      </c>
      <c r="K4" s="142">
        <f>'0. Summary Tab'!$G$6</f>
        <v>0</v>
      </c>
      <c r="L4" s="49"/>
    </row>
    <row r="5" spans="2:12" x14ac:dyDescent="0.15">
      <c r="B5" s="147"/>
      <c r="C5" s="131"/>
      <c r="D5" s="131"/>
      <c r="E5" s="49"/>
      <c r="F5" s="143" t="s">
        <v>28</v>
      </c>
      <c r="G5" s="249" t="s">
        <v>14</v>
      </c>
      <c r="H5" s="49"/>
      <c r="I5" s="49"/>
      <c r="J5" s="49"/>
      <c r="K5" s="49"/>
      <c r="L5" s="49"/>
    </row>
    <row r="6" spans="2:12" x14ac:dyDescent="0.15">
      <c r="B6" s="49"/>
      <c r="C6" s="49"/>
      <c r="D6" s="49"/>
      <c r="E6" s="49"/>
      <c r="F6" s="49"/>
      <c r="G6" s="49"/>
      <c r="H6" s="49"/>
      <c r="I6" s="49"/>
      <c r="J6" s="49"/>
      <c r="K6" s="49"/>
      <c r="L6" s="49"/>
    </row>
    <row r="7" spans="2:12" x14ac:dyDescent="0.15">
      <c r="B7" s="51"/>
      <c r="C7" s="52"/>
      <c r="D7" s="52"/>
      <c r="E7" s="52"/>
      <c r="F7" s="52"/>
      <c r="G7" s="52"/>
      <c r="H7" s="52"/>
      <c r="I7" s="52"/>
      <c r="J7" s="52"/>
    </row>
    <row r="8" spans="2:12" x14ac:dyDescent="0.15">
      <c r="B8" s="49"/>
      <c r="C8" s="149"/>
      <c r="D8" s="149"/>
      <c r="E8" s="129"/>
      <c r="F8" s="151"/>
      <c r="G8" s="129"/>
      <c r="H8" s="173"/>
      <c r="I8" s="50"/>
      <c r="J8" s="49"/>
      <c r="K8" s="49"/>
      <c r="L8" s="49"/>
    </row>
    <row r="9" spans="2:12" ht="10.5" customHeight="1" x14ac:dyDescent="0.15">
      <c r="B9" s="49"/>
      <c r="C9" s="174" t="s">
        <v>29</v>
      </c>
      <c r="D9" s="369" t="s">
        <v>155</v>
      </c>
      <c r="E9" s="370"/>
      <c r="F9" s="370"/>
      <c r="G9" s="371"/>
      <c r="H9" s="173"/>
      <c r="I9" s="50"/>
      <c r="J9" s="49"/>
      <c r="K9" s="49"/>
      <c r="L9" s="49"/>
    </row>
    <row r="10" spans="2:12" x14ac:dyDescent="0.15">
      <c r="B10" s="49"/>
      <c r="C10" s="149"/>
      <c r="D10" s="149"/>
      <c r="E10" s="129"/>
      <c r="F10" s="151"/>
      <c r="G10" s="129"/>
      <c r="H10" s="173"/>
      <c r="I10" s="50"/>
      <c r="J10" s="49"/>
      <c r="K10" s="49"/>
      <c r="L10" s="49"/>
    </row>
    <row r="11" spans="2:12" x14ac:dyDescent="0.15">
      <c r="C11" s="57"/>
      <c r="D11" s="57"/>
      <c r="E11" s="58"/>
      <c r="F11" s="59"/>
      <c r="G11" s="130"/>
      <c r="H11" s="60"/>
    </row>
    <row r="12" spans="2:12" x14ac:dyDescent="0.15">
      <c r="B12" s="49"/>
      <c r="C12" s="66"/>
      <c r="D12" s="66"/>
      <c r="E12" s="50"/>
      <c r="F12" s="131"/>
      <c r="G12" s="50"/>
      <c r="H12" s="50"/>
      <c r="I12" s="50"/>
      <c r="J12" s="50"/>
      <c r="K12" s="50"/>
      <c r="L12" s="50"/>
    </row>
    <row r="13" spans="2:12" x14ac:dyDescent="0.15">
      <c r="B13" s="49"/>
      <c r="C13" s="372" t="s">
        <v>156</v>
      </c>
      <c r="D13" s="373"/>
      <c r="E13" s="175" t="s">
        <v>147</v>
      </c>
      <c r="F13" s="176"/>
      <c r="G13" s="49"/>
      <c r="H13" s="49"/>
      <c r="I13" s="49"/>
      <c r="J13" s="49"/>
      <c r="K13" s="49"/>
      <c r="L13" s="49"/>
    </row>
    <row r="14" spans="2:12" x14ac:dyDescent="0.15">
      <c r="B14" s="49"/>
      <c r="C14" s="374" t="str">
        <f>'2. SAP Considerations'!$C$29</f>
        <v>Disaggregated Part 2</v>
      </c>
      <c r="D14" s="375"/>
      <c r="E14" s="177">
        <f>'2. SAP Considerations'!$E$29</f>
        <v>0</v>
      </c>
      <c r="F14" s="178" t="s">
        <v>157</v>
      </c>
      <c r="G14" s="49"/>
      <c r="H14" s="49"/>
      <c r="I14" s="49"/>
      <c r="J14" s="49"/>
      <c r="K14" s="49"/>
      <c r="L14" s="49"/>
    </row>
    <row r="15" spans="2:12" x14ac:dyDescent="0.15">
      <c r="B15" s="49"/>
      <c r="C15" s="49"/>
      <c r="D15" s="49"/>
      <c r="E15" s="49"/>
      <c r="F15" s="49"/>
      <c r="G15" s="49"/>
      <c r="H15" s="49"/>
      <c r="I15" s="49"/>
      <c r="J15" s="49"/>
      <c r="K15" s="49"/>
      <c r="L15" s="49"/>
    </row>
    <row r="16" spans="2:12" x14ac:dyDescent="0.15">
      <c r="B16" s="179" t="s">
        <v>158</v>
      </c>
      <c r="C16" s="337" t="s">
        <v>159</v>
      </c>
      <c r="D16" s="346"/>
      <c r="E16" s="346"/>
      <c r="F16" s="346"/>
      <c r="G16" s="338"/>
      <c r="H16" s="49"/>
      <c r="I16" s="49"/>
      <c r="J16" s="49"/>
      <c r="K16" s="49"/>
      <c r="L16" s="49"/>
    </row>
    <row r="17" spans="2:12" x14ac:dyDescent="0.15">
      <c r="B17" s="49"/>
      <c r="C17" s="49"/>
      <c r="D17" s="49"/>
      <c r="E17" s="49"/>
      <c r="F17" s="49"/>
      <c r="G17" s="49"/>
      <c r="H17" s="49"/>
      <c r="I17" s="49"/>
      <c r="J17" s="49"/>
      <c r="K17" s="49"/>
      <c r="L17" s="49"/>
    </row>
    <row r="18" spans="2:12" x14ac:dyDescent="0.15">
      <c r="B18" s="49"/>
      <c r="C18" s="376" t="s">
        <v>160</v>
      </c>
      <c r="D18" s="377"/>
      <c r="E18" s="180" t="s">
        <v>161</v>
      </c>
      <c r="F18" s="180" t="s">
        <v>162</v>
      </c>
      <c r="G18" s="180" t="s">
        <v>163</v>
      </c>
      <c r="H18" s="49"/>
      <c r="I18" s="49"/>
      <c r="J18" s="49"/>
      <c r="K18" s="49"/>
      <c r="L18" s="49"/>
    </row>
    <row r="19" spans="2:12" x14ac:dyDescent="0.15">
      <c r="B19" s="49"/>
      <c r="C19" s="367"/>
      <c r="D19" s="368"/>
      <c r="E19" s="181"/>
      <c r="F19" s="182"/>
      <c r="G19" s="182"/>
      <c r="H19" s="49"/>
      <c r="I19" s="49"/>
      <c r="J19" s="49"/>
      <c r="K19" s="49"/>
      <c r="L19" s="49"/>
    </row>
    <row r="20" spans="2:12" x14ac:dyDescent="0.15">
      <c r="B20" s="49"/>
      <c r="C20" s="367"/>
      <c r="D20" s="368"/>
      <c r="E20" s="181"/>
      <c r="F20" s="182"/>
      <c r="G20" s="182"/>
      <c r="H20" s="49"/>
      <c r="I20" s="49"/>
      <c r="J20" s="49"/>
      <c r="K20" s="49"/>
      <c r="L20" s="49"/>
    </row>
    <row r="21" spans="2:12" x14ac:dyDescent="0.15">
      <c r="B21" s="49"/>
      <c r="C21" s="367"/>
      <c r="D21" s="368"/>
      <c r="E21" s="181"/>
      <c r="F21" s="182"/>
      <c r="G21" s="182"/>
      <c r="H21" s="49"/>
      <c r="I21" s="49"/>
      <c r="J21" s="49"/>
      <c r="K21" s="49"/>
      <c r="L21" s="49"/>
    </row>
    <row r="22" spans="2:12" x14ac:dyDescent="0.15">
      <c r="B22" s="49"/>
      <c r="C22" s="367"/>
      <c r="D22" s="368"/>
      <c r="E22" s="181"/>
      <c r="F22" s="182"/>
      <c r="G22" s="182"/>
      <c r="H22" s="49"/>
      <c r="I22" s="49"/>
      <c r="J22" s="49"/>
      <c r="K22" s="49"/>
      <c r="L22" s="49"/>
    </row>
    <row r="23" spans="2:12" x14ac:dyDescent="0.15">
      <c r="B23" s="49"/>
      <c r="C23" s="367"/>
      <c r="D23" s="368"/>
      <c r="E23" s="183"/>
      <c r="F23" s="182"/>
      <c r="G23" s="182"/>
      <c r="H23" s="49"/>
      <c r="I23" s="49"/>
      <c r="J23" s="49"/>
      <c r="K23" s="49"/>
      <c r="L23" s="49"/>
    </row>
    <row r="24" spans="2:12" x14ac:dyDescent="0.15">
      <c r="B24" s="49"/>
      <c r="C24" s="184"/>
      <c r="D24" s="185"/>
      <c r="E24" s="183"/>
      <c r="F24" s="182"/>
      <c r="G24" s="182"/>
      <c r="H24" s="49"/>
      <c r="I24" s="49"/>
      <c r="J24" s="49"/>
      <c r="K24" s="49"/>
      <c r="L24" s="49"/>
    </row>
    <row r="25" spans="2:12" x14ac:dyDescent="0.15">
      <c r="B25" s="49"/>
      <c r="C25" s="367"/>
      <c r="D25" s="368"/>
      <c r="E25" s="183"/>
      <c r="F25" s="182"/>
      <c r="G25" s="182"/>
      <c r="H25" s="49"/>
      <c r="I25" s="49"/>
      <c r="J25" s="49"/>
      <c r="K25" s="49"/>
      <c r="L25" s="49"/>
    </row>
    <row r="26" spans="2:12" x14ac:dyDescent="0.15">
      <c r="B26" s="49"/>
      <c r="C26" s="367"/>
      <c r="D26" s="368"/>
      <c r="E26" s="183"/>
      <c r="F26" s="182"/>
      <c r="G26" s="182"/>
      <c r="H26" s="49"/>
      <c r="I26" s="49"/>
      <c r="J26" s="49"/>
      <c r="K26" s="49"/>
      <c r="L26" s="49"/>
    </row>
    <row r="27" spans="2:12" x14ac:dyDescent="0.15">
      <c r="B27" s="49"/>
      <c r="C27" s="367"/>
      <c r="D27" s="368"/>
      <c r="E27" s="183"/>
      <c r="F27" s="182"/>
      <c r="G27" s="182"/>
      <c r="H27" s="49"/>
      <c r="I27" s="49"/>
      <c r="J27" s="49"/>
      <c r="K27" s="49"/>
      <c r="L27" s="49"/>
    </row>
    <row r="28" spans="2:12" ht="11.25" thickBot="1" x14ac:dyDescent="0.2">
      <c r="B28" s="49"/>
      <c r="C28" s="349" t="s">
        <v>164</v>
      </c>
      <c r="D28" s="350"/>
      <c r="E28" s="186"/>
      <c r="F28" s="178" t="s">
        <v>165</v>
      </c>
      <c r="G28" s="176"/>
      <c r="H28" s="49"/>
      <c r="I28" s="49"/>
      <c r="J28" s="49"/>
      <c r="K28" s="49"/>
      <c r="L28" s="49"/>
    </row>
    <row r="29" spans="2:12" x14ac:dyDescent="0.15">
      <c r="B29" s="49"/>
      <c r="C29" s="49"/>
      <c r="D29" s="49"/>
      <c r="E29" s="49"/>
      <c r="F29" s="49"/>
      <c r="G29" s="49"/>
      <c r="H29" s="49"/>
      <c r="I29" s="49"/>
      <c r="J29" s="49"/>
      <c r="K29" s="49"/>
      <c r="L29" s="49"/>
    </row>
    <row r="30" spans="2:12" x14ac:dyDescent="0.15">
      <c r="B30" s="179" t="s">
        <v>166</v>
      </c>
      <c r="C30" s="351" t="s">
        <v>167</v>
      </c>
      <c r="D30" s="352"/>
      <c r="E30" s="352"/>
      <c r="F30" s="352"/>
      <c r="G30" s="353"/>
      <c r="H30" s="49"/>
      <c r="I30" s="49"/>
      <c r="J30" s="49"/>
      <c r="K30" s="49"/>
      <c r="L30" s="49"/>
    </row>
    <row r="31" spans="2:12" x14ac:dyDescent="0.15">
      <c r="B31" s="187"/>
      <c r="C31" s="188"/>
      <c r="D31" s="188"/>
      <c r="E31" s="225"/>
      <c r="F31" s="225"/>
      <c r="G31" s="225"/>
      <c r="H31" s="50"/>
      <c r="I31" s="49"/>
      <c r="J31" s="49"/>
      <c r="K31" s="49"/>
      <c r="L31" s="49"/>
    </row>
    <row r="32" spans="2:12" ht="11.25" x14ac:dyDescent="0.15">
      <c r="B32" s="187"/>
      <c r="C32" s="354" t="s">
        <v>168</v>
      </c>
      <c r="D32" s="355"/>
      <c r="E32" s="355"/>
      <c r="F32" s="355"/>
      <c r="G32" s="356"/>
      <c r="H32" s="49"/>
      <c r="I32" s="49"/>
      <c r="J32" s="49"/>
      <c r="K32" s="49"/>
      <c r="L32" s="49"/>
    </row>
    <row r="33" spans="2:12" x14ac:dyDescent="0.15">
      <c r="B33" s="49"/>
      <c r="C33" s="49"/>
      <c r="D33" s="49"/>
      <c r="E33" s="49"/>
      <c r="F33" s="49"/>
      <c r="G33" s="49"/>
      <c r="H33" s="49"/>
      <c r="I33" s="49"/>
      <c r="J33" s="49"/>
      <c r="K33" s="49"/>
      <c r="L33" s="49"/>
    </row>
    <row r="34" spans="2:12" x14ac:dyDescent="0.15">
      <c r="B34" s="179" t="s">
        <v>169</v>
      </c>
      <c r="C34" s="337" t="s">
        <v>170</v>
      </c>
      <c r="D34" s="346"/>
      <c r="E34" s="346"/>
      <c r="F34" s="346"/>
      <c r="G34" s="338"/>
      <c r="H34" s="49"/>
      <c r="I34" s="49"/>
      <c r="J34" s="49"/>
      <c r="K34" s="49"/>
      <c r="L34" s="49"/>
    </row>
    <row r="35" spans="2:12" x14ac:dyDescent="0.15">
      <c r="B35" s="49"/>
      <c r="C35" s="49"/>
      <c r="D35" s="49"/>
      <c r="E35" s="49"/>
      <c r="F35" s="49"/>
      <c r="G35" s="49"/>
      <c r="H35" s="49"/>
      <c r="I35" s="49"/>
      <c r="J35" s="49"/>
      <c r="K35" s="49"/>
      <c r="L35" s="49"/>
    </row>
    <row r="36" spans="2:12" x14ac:dyDescent="0.15">
      <c r="B36" s="49"/>
      <c r="C36" s="357" t="s">
        <v>171</v>
      </c>
      <c r="D36" s="358"/>
      <c r="E36" s="359"/>
      <c r="F36" s="49"/>
      <c r="G36" s="49"/>
      <c r="H36" s="49"/>
      <c r="I36" s="49"/>
      <c r="J36" s="49"/>
      <c r="K36" s="49"/>
      <c r="L36" s="49"/>
    </row>
    <row r="37" spans="2:12" x14ac:dyDescent="0.15">
      <c r="B37" s="49"/>
      <c r="C37" s="190" t="s">
        <v>172</v>
      </c>
      <c r="D37" s="191"/>
      <c r="E37" s="360" t="s">
        <v>31</v>
      </c>
      <c r="F37" s="49"/>
      <c r="G37" s="49"/>
      <c r="H37" s="49"/>
      <c r="I37" s="49"/>
      <c r="J37" s="49"/>
      <c r="K37" s="49"/>
      <c r="L37" s="49"/>
    </row>
    <row r="38" spans="2:12" x14ac:dyDescent="0.15">
      <c r="B38" s="49"/>
      <c r="C38" s="192" t="s">
        <v>173</v>
      </c>
      <c r="D38" s="153"/>
      <c r="E38" s="361"/>
      <c r="F38" s="49"/>
      <c r="G38" s="49"/>
      <c r="H38" s="49"/>
      <c r="I38" s="49"/>
      <c r="J38" s="49"/>
      <c r="K38" s="49"/>
      <c r="L38" s="49"/>
    </row>
    <row r="39" spans="2:12" x14ac:dyDescent="0.15">
      <c r="B39" s="49"/>
      <c r="C39" s="192" t="s">
        <v>174</v>
      </c>
      <c r="D39" s="153"/>
      <c r="E39" s="361"/>
      <c r="F39" s="49"/>
      <c r="G39" s="49"/>
      <c r="H39" s="49"/>
      <c r="I39" s="49"/>
      <c r="J39" s="49"/>
      <c r="K39" s="49"/>
      <c r="L39" s="49"/>
    </row>
    <row r="40" spans="2:12" x14ac:dyDescent="0.15">
      <c r="B40" s="49"/>
      <c r="C40" s="192" t="s">
        <v>111</v>
      </c>
      <c r="D40" s="153"/>
      <c r="E40" s="361"/>
      <c r="F40" s="49"/>
      <c r="G40" s="49"/>
      <c r="H40" s="49"/>
      <c r="I40" s="49"/>
      <c r="J40" s="49"/>
      <c r="K40" s="49"/>
      <c r="L40" s="49"/>
    </row>
    <row r="41" spans="2:12" x14ac:dyDescent="0.15">
      <c r="B41" s="49"/>
      <c r="C41" s="192" t="s">
        <v>175</v>
      </c>
      <c r="D41" s="153"/>
      <c r="E41" s="361"/>
      <c r="F41" s="49"/>
      <c r="G41" s="49"/>
      <c r="H41" s="49"/>
      <c r="I41" s="49"/>
      <c r="J41" s="49"/>
      <c r="K41" s="49"/>
      <c r="L41" s="49"/>
    </row>
    <row r="42" spans="2:12" x14ac:dyDescent="0.15">
      <c r="B42" s="49"/>
      <c r="C42" s="192" t="s">
        <v>176</v>
      </c>
      <c r="D42" s="153"/>
      <c r="E42" s="361"/>
      <c r="F42" s="49"/>
      <c r="G42" s="49"/>
      <c r="H42" s="49"/>
      <c r="I42" s="49"/>
      <c r="J42" s="49"/>
      <c r="K42" s="49"/>
      <c r="L42" s="49"/>
    </row>
    <row r="43" spans="2:12" x14ac:dyDescent="0.15">
      <c r="B43" s="49"/>
      <c r="C43" s="193"/>
      <c r="D43" s="194"/>
      <c r="E43" s="362"/>
      <c r="F43" s="49"/>
      <c r="G43" s="49"/>
      <c r="H43" s="49"/>
      <c r="I43" s="49"/>
      <c r="J43" s="49"/>
      <c r="K43" s="49"/>
      <c r="L43" s="49"/>
    </row>
    <row r="44" spans="2:12" x14ac:dyDescent="0.15">
      <c r="B44" s="49"/>
      <c r="C44" s="226"/>
      <c r="D44" s="226"/>
      <c r="E44" s="49"/>
      <c r="F44" s="49"/>
      <c r="G44" s="49"/>
      <c r="H44" s="49"/>
      <c r="I44" s="49"/>
      <c r="J44" s="49"/>
      <c r="K44" s="49"/>
      <c r="L44" s="49"/>
    </row>
    <row r="45" spans="2:12" x14ac:dyDescent="0.15">
      <c r="B45" s="49"/>
      <c r="C45" s="327" t="s">
        <v>177</v>
      </c>
      <c r="D45" s="328"/>
      <c r="E45" s="144" t="s">
        <v>14</v>
      </c>
      <c r="F45" s="49"/>
      <c r="G45" s="49"/>
      <c r="H45" s="49"/>
      <c r="I45" s="49"/>
      <c r="J45" s="49"/>
      <c r="K45" s="49"/>
      <c r="L45" s="49"/>
    </row>
    <row r="46" spans="2:12" x14ac:dyDescent="0.15">
      <c r="B46" s="49"/>
      <c r="C46" s="327" t="s">
        <v>178</v>
      </c>
      <c r="D46" s="328"/>
      <c r="E46" s="196"/>
      <c r="F46" s="244" t="str">
        <f>$E$37</f>
        <v>&lt;1&gt;</v>
      </c>
      <c r="G46" s="227"/>
      <c r="H46" s="49"/>
      <c r="I46" s="49"/>
      <c r="J46" s="49"/>
      <c r="K46" s="49"/>
      <c r="L46" s="49"/>
    </row>
    <row r="47" spans="2:12" ht="31.15" customHeight="1" x14ac:dyDescent="0.15">
      <c r="B47" s="49"/>
      <c r="C47" s="329" t="s">
        <v>179</v>
      </c>
      <c r="D47" s="330"/>
      <c r="E47" s="197"/>
      <c r="F47" s="178"/>
      <c r="G47" s="178"/>
      <c r="H47" s="49"/>
      <c r="I47" s="49"/>
      <c r="J47" s="49"/>
      <c r="K47" s="49"/>
      <c r="L47" s="49"/>
    </row>
    <row r="48" spans="2:12" x14ac:dyDescent="0.15">
      <c r="B48" s="49"/>
      <c r="C48" s="365" t="str">
        <f>IF(E47&lt;&gt;"","Adjusted threshold applied","Threshold applied")</f>
        <v>Threshold applied</v>
      </c>
      <c r="D48" s="366"/>
      <c r="E48" s="198">
        <f>$E$46+$E$47</f>
        <v>0</v>
      </c>
      <c r="F48" s="178"/>
      <c r="G48" s="228"/>
      <c r="H48" s="49"/>
      <c r="I48" s="49"/>
      <c r="J48" s="49"/>
      <c r="K48" s="49"/>
      <c r="L48" s="49"/>
    </row>
    <row r="49" spans="2:12" x14ac:dyDescent="0.15">
      <c r="B49" s="49"/>
      <c r="C49" s="49"/>
      <c r="D49" s="49"/>
      <c r="E49" s="49"/>
      <c r="F49" s="49"/>
      <c r="G49" s="49"/>
      <c r="H49" s="49"/>
      <c r="I49" s="49"/>
      <c r="J49" s="49"/>
      <c r="K49" s="49"/>
      <c r="L49" s="49"/>
    </row>
    <row r="50" spans="2:12" x14ac:dyDescent="0.15">
      <c r="B50" s="49"/>
      <c r="C50" s="49"/>
      <c r="D50" s="49"/>
      <c r="E50" s="49"/>
      <c r="F50" s="49"/>
      <c r="G50" s="49"/>
      <c r="H50" s="49"/>
      <c r="I50" s="49"/>
      <c r="J50" s="49"/>
      <c r="K50" s="49"/>
      <c r="L50" s="49"/>
    </row>
    <row r="51" spans="2:12" x14ac:dyDescent="0.15">
      <c r="B51" s="179" t="s">
        <v>180</v>
      </c>
      <c r="C51" s="337" t="s">
        <v>181</v>
      </c>
      <c r="D51" s="346"/>
      <c r="E51" s="346"/>
      <c r="F51" s="346"/>
      <c r="G51" s="338"/>
      <c r="H51" s="49"/>
      <c r="I51" s="49"/>
      <c r="J51" s="49"/>
      <c r="K51" s="49"/>
      <c r="L51" s="49"/>
    </row>
    <row r="52" spans="2:12" x14ac:dyDescent="0.15">
      <c r="B52" s="49"/>
      <c r="C52" s="49"/>
      <c r="D52" s="49"/>
      <c r="E52" s="49"/>
      <c r="F52" s="49"/>
      <c r="G52" s="49"/>
      <c r="H52" s="49"/>
      <c r="I52" s="49"/>
      <c r="J52" s="49"/>
      <c r="K52" s="49"/>
      <c r="L52" s="49"/>
    </row>
    <row r="53" spans="2:12" x14ac:dyDescent="0.15">
      <c r="B53" s="49"/>
      <c r="C53" s="331" t="s">
        <v>115</v>
      </c>
      <c r="D53" s="332"/>
      <c r="E53" s="199" t="s">
        <v>118</v>
      </c>
      <c r="F53" s="176"/>
      <c r="G53" s="49"/>
      <c r="H53" s="49"/>
      <c r="I53" s="49"/>
      <c r="J53" s="49"/>
      <c r="K53" s="49"/>
      <c r="L53" s="49"/>
    </row>
    <row r="54" spans="2:12" x14ac:dyDescent="0.15">
      <c r="B54" s="49"/>
      <c r="C54" s="327" t="s">
        <v>182</v>
      </c>
      <c r="D54" s="328"/>
      <c r="E54" s="200">
        <f>$E$28</f>
        <v>0</v>
      </c>
      <c r="F54" s="201" t="s">
        <v>183</v>
      </c>
      <c r="G54" s="49"/>
      <c r="H54" s="49"/>
      <c r="I54" s="49"/>
      <c r="J54" s="49"/>
      <c r="K54" s="49"/>
      <c r="L54" s="49"/>
    </row>
    <row r="55" spans="2:12" x14ac:dyDescent="0.15">
      <c r="B55" s="49"/>
      <c r="C55" s="327" t="s">
        <v>147</v>
      </c>
      <c r="D55" s="328"/>
      <c r="E55" s="202">
        <f>$E$14</f>
        <v>0</v>
      </c>
      <c r="F55" s="201" t="s">
        <v>184</v>
      </c>
      <c r="G55" s="49"/>
      <c r="H55" s="49"/>
      <c r="I55" s="49"/>
      <c r="J55" s="49"/>
      <c r="K55" s="49"/>
      <c r="L55" s="49"/>
    </row>
    <row r="56" spans="2:12" x14ac:dyDescent="0.15">
      <c r="B56" s="49"/>
      <c r="C56" s="327" t="s">
        <v>185</v>
      </c>
      <c r="D56" s="328"/>
      <c r="E56" s="200">
        <f>$E$55-$E$54</f>
        <v>0</v>
      </c>
      <c r="F56" s="201" t="s">
        <v>186</v>
      </c>
      <c r="G56" s="49"/>
      <c r="H56" s="49"/>
      <c r="I56" s="49"/>
      <c r="J56" s="49"/>
      <c r="K56" s="49"/>
      <c r="L56" s="49"/>
    </row>
    <row r="57" spans="2:12" x14ac:dyDescent="0.15">
      <c r="B57" s="49"/>
      <c r="C57" s="329" t="s">
        <v>187</v>
      </c>
      <c r="D57" s="330"/>
      <c r="E57" s="203" t="str">
        <f>IF(ABS($E$56)&gt;$E$48,"No, Investigate","Yes")</f>
        <v>Yes</v>
      </c>
      <c r="F57" s="176"/>
      <c r="G57" s="49"/>
      <c r="H57" s="49"/>
      <c r="I57" s="49"/>
      <c r="J57" s="49"/>
      <c r="K57" s="49"/>
      <c r="L57" s="49"/>
    </row>
    <row r="58" spans="2:12" x14ac:dyDescent="0.15">
      <c r="B58" s="49"/>
      <c r="C58" s="49"/>
      <c r="D58" s="49"/>
      <c r="E58" s="49"/>
      <c r="F58" s="49"/>
      <c r="G58" s="49"/>
      <c r="H58" s="49"/>
      <c r="I58" s="49"/>
      <c r="J58" s="49"/>
      <c r="K58" s="49"/>
      <c r="L58" s="49"/>
    </row>
    <row r="59" spans="2:12" x14ac:dyDescent="0.15">
      <c r="B59" s="179" t="s">
        <v>188</v>
      </c>
      <c r="C59" s="337" t="s">
        <v>189</v>
      </c>
      <c r="D59" s="346"/>
      <c r="E59" s="346"/>
      <c r="F59" s="346"/>
      <c r="G59" s="338"/>
      <c r="H59" s="49"/>
      <c r="I59" s="49"/>
      <c r="J59" s="49"/>
      <c r="K59" s="49"/>
      <c r="L59" s="49"/>
    </row>
    <row r="60" spans="2:12" x14ac:dyDescent="0.15">
      <c r="B60" s="49"/>
      <c r="C60" s="49"/>
      <c r="D60" s="49"/>
      <c r="E60" s="49"/>
      <c r="F60" s="49"/>
      <c r="G60" s="49"/>
      <c r="H60" s="49"/>
      <c r="I60" s="49"/>
      <c r="J60" s="49"/>
      <c r="K60" s="49"/>
      <c r="L60" s="49"/>
    </row>
    <row r="61" spans="2:12" x14ac:dyDescent="0.15">
      <c r="B61" s="49"/>
      <c r="C61" s="331" t="s">
        <v>202</v>
      </c>
      <c r="D61" s="332"/>
      <c r="E61" s="199" t="s">
        <v>118</v>
      </c>
      <c r="F61" s="207" t="s">
        <v>191</v>
      </c>
      <c r="G61" s="180" t="s">
        <v>192</v>
      </c>
      <c r="H61" s="49"/>
      <c r="I61" s="49"/>
      <c r="J61" s="49"/>
      <c r="K61" s="49"/>
      <c r="L61" s="49"/>
    </row>
    <row r="62" spans="2:12" x14ac:dyDescent="0.15">
      <c r="B62" s="49"/>
      <c r="C62" s="342"/>
      <c r="D62" s="343"/>
      <c r="E62" s="208"/>
      <c r="F62" s="209"/>
      <c r="G62" s="210"/>
      <c r="H62" s="49"/>
      <c r="I62" s="49"/>
      <c r="J62" s="49"/>
      <c r="K62" s="49"/>
      <c r="L62" s="49"/>
    </row>
    <row r="63" spans="2:12" x14ac:dyDescent="0.15">
      <c r="B63" s="49"/>
      <c r="C63" s="344"/>
      <c r="D63" s="345"/>
      <c r="E63" s="229"/>
      <c r="F63" s="209"/>
      <c r="G63" s="210"/>
      <c r="H63" s="49"/>
      <c r="I63" s="49"/>
      <c r="J63" s="49"/>
      <c r="K63" s="49"/>
      <c r="L63" s="49"/>
    </row>
    <row r="64" spans="2:12" x14ac:dyDescent="0.15">
      <c r="B64" s="49"/>
      <c r="C64" s="344"/>
      <c r="D64" s="345"/>
      <c r="E64" s="208"/>
      <c r="F64" s="209"/>
      <c r="G64" s="210"/>
      <c r="H64" s="49"/>
      <c r="I64" s="49"/>
      <c r="J64" s="49"/>
      <c r="K64" s="49"/>
      <c r="L64" s="49"/>
    </row>
    <row r="65" spans="2:12" x14ac:dyDescent="0.15">
      <c r="B65" s="49"/>
      <c r="C65" s="344"/>
      <c r="D65" s="345"/>
      <c r="E65" s="208"/>
      <c r="F65" s="209"/>
      <c r="G65" s="210"/>
      <c r="H65" s="49"/>
      <c r="I65" s="49"/>
      <c r="J65" s="49"/>
      <c r="K65" s="49"/>
      <c r="L65" s="49"/>
    </row>
    <row r="66" spans="2:12" x14ac:dyDescent="0.15">
      <c r="B66" s="49"/>
      <c r="C66" s="344"/>
      <c r="D66" s="345"/>
      <c r="E66" s="208"/>
      <c r="F66" s="209"/>
      <c r="G66" s="210"/>
      <c r="H66" s="49"/>
      <c r="I66" s="49"/>
      <c r="J66" s="49"/>
      <c r="K66" s="49"/>
      <c r="L66" s="49"/>
    </row>
    <row r="67" spans="2:12" x14ac:dyDescent="0.15">
      <c r="B67" s="49"/>
      <c r="C67" s="325" t="s">
        <v>193</v>
      </c>
      <c r="D67" s="326"/>
      <c r="E67" s="211">
        <f>SUM($E$62:$E$66)</f>
        <v>0</v>
      </c>
      <c r="F67" s="176"/>
      <c r="G67" s="176"/>
      <c r="H67" s="49"/>
      <c r="I67" s="49"/>
      <c r="J67" s="49"/>
      <c r="K67" s="49"/>
      <c r="L67" s="49"/>
    </row>
    <row r="68" spans="2:12" x14ac:dyDescent="0.15">
      <c r="B68" s="49"/>
      <c r="C68" s="325" t="s">
        <v>194</v>
      </c>
      <c r="D68" s="326"/>
      <c r="E68" s="212">
        <f>$E$56</f>
        <v>0</v>
      </c>
      <c r="F68" s="176"/>
      <c r="G68" s="213" t="str">
        <f>IF(ISERROR(MATCH("Yes",G62:G66,0)),"","Enter all identified misstatements in the Findings module/Evaluation of Misstatements form")</f>
        <v/>
      </c>
      <c r="H68" s="49"/>
      <c r="I68" s="49"/>
      <c r="J68" s="49"/>
      <c r="K68" s="49"/>
      <c r="L68" s="49"/>
    </row>
    <row r="69" spans="2:12" x14ac:dyDescent="0.15">
      <c r="B69" s="49"/>
      <c r="C69" s="325" t="s">
        <v>195</v>
      </c>
      <c r="D69" s="326"/>
      <c r="E69" s="211">
        <f>ABS($E$67-$E$68)</f>
        <v>0</v>
      </c>
      <c r="F69" s="176"/>
      <c r="G69" s="176"/>
      <c r="H69" s="49"/>
      <c r="I69" s="49"/>
      <c r="J69" s="49"/>
      <c r="K69" s="49"/>
      <c r="L69" s="49"/>
    </row>
    <row r="70" spans="2:12" x14ac:dyDescent="0.15">
      <c r="B70" s="49"/>
      <c r="C70" s="49"/>
      <c r="D70" s="49"/>
      <c r="E70" s="49"/>
      <c r="F70" s="49"/>
      <c r="G70" s="49"/>
      <c r="H70" s="49"/>
      <c r="I70" s="49"/>
      <c r="J70" s="49"/>
      <c r="K70" s="49"/>
      <c r="L70" s="49"/>
    </row>
    <row r="71" spans="2:12" x14ac:dyDescent="0.15">
      <c r="B71" s="179" t="s">
        <v>196</v>
      </c>
      <c r="C71" s="337" t="s">
        <v>197</v>
      </c>
      <c r="D71" s="338"/>
      <c r="E71" s="144" t="s">
        <v>14</v>
      </c>
      <c r="F71" s="339"/>
      <c r="G71" s="339"/>
      <c r="H71" s="49"/>
      <c r="I71" s="49"/>
      <c r="J71" s="49"/>
      <c r="K71" s="49"/>
      <c r="L71" s="49"/>
    </row>
    <row r="72" spans="2:12" x14ac:dyDescent="0.15">
      <c r="B72" s="49"/>
      <c r="C72" s="49"/>
      <c r="D72" s="49"/>
      <c r="E72" s="49"/>
      <c r="F72" s="49"/>
      <c r="G72" s="49"/>
      <c r="H72" s="49"/>
      <c r="I72" s="49"/>
      <c r="J72" s="49"/>
      <c r="K72" s="49"/>
      <c r="L72" s="49"/>
    </row>
    <row r="73" spans="2:12" x14ac:dyDescent="0.15">
      <c r="B73" s="49"/>
      <c r="C73" s="331" t="s">
        <v>115</v>
      </c>
      <c r="D73" s="332"/>
      <c r="E73" s="199" t="s">
        <v>118</v>
      </c>
      <c r="F73" s="214" t="s">
        <v>198</v>
      </c>
      <c r="G73" s="176"/>
      <c r="H73" s="49"/>
      <c r="I73" s="49"/>
      <c r="J73" s="49"/>
      <c r="K73" s="49"/>
      <c r="L73" s="49"/>
    </row>
    <row r="74" spans="2:12" x14ac:dyDescent="0.15">
      <c r="B74" s="49"/>
      <c r="C74" s="386" t="s">
        <v>199</v>
      </c>
      <c r="D74" s="387"/>
      <c r="E74" s="215" t="str">
        <f>IF($E$71="Yes",$E$28,"")</f>
        <v/>
      </c>
      <c r="F74" s="216" t="s">
        <v>183</v>
      </c>
      <c r="G74" s="176"/>
      <c r="H74" s="49"/>
      <c r="I74" s="49"/>
      <c r="J74" s="49"/>
      <c r="K74" s="49"/>
      <c r="L74" s="49"/>
    </row>
    <row r="75" spans="2:12" x14ac:dyDescent="0.15">
      <c r="B75" s="49"/>
      <c r="C75" s="386" t="s">
        <v>200</v>
      </c>
      <c r="D75" s="387"/>
      <c r="E75" s="217"/>
      <c r="F75" s="216"/>
      <c r="G75" s="176"/>
      <c r="H75" s="49"/>
      <c r="I75" s="49"/>
      <c r="J75" s="49"/>
      <c r="K75" s="49"/>
      <c r="L75" s="49"/>
    </row>
    <row r="76" spans="2:12" x14ac:dyDescent="0.15">
      <c r="B76" s="49"/>
      <c r="C76" s="390"/>
      <c r="D76" s="391"/>
      <c r="E76" s="220"/>
      <c r="F76" s="221"/>
      <c r="G76" s="176"/>
      <c r="H76" s="49"/>
      <c r="I76" s="49"/>
      <c r="J76" s="49"/>
      <c r="K76" s="49"/>
      <c r="L76" s="49"/>
    </row>
    <row r="77" spans="2:12" x14ac:dyDescent="0.15">
      <c r="B77" s="49"/>
      <c r="C77" s="390"/>
      <c r="D77" s="391"/>
      <c r="E77" s="220"/>
      <c r="F77" s="221"/>
      <c r="G77" s="176"/>
      <c r="H77" s="49"/>
      <c r="I77" s="49"/>
      <c r="J77" s="49"/>
      <c r="K77" s="49"/>
      <c r="L77" s="49"/>
    </row>
    <row r="78" spans="2:12" x14ac:dyDescent="0.15">
      <c r="B78" s="49"/>
      <c r="C78" s="390"/>
      <c r="D78" s="391"/>
      <c r="E78" s="220"/>
      <c r="F78" s="221"/>
      <c r="G78" s="176"/>
      <c r="H78" s="49"/>
      <c r="I78" s="49"/>
      <c r="J78" s="49"/>
      <c r="K78" s="49"/>
      <c r="L78" s="49"/>
    </row>
    <row r="79" spans="2:12" x14ac:dyDescent="0.15">
      <c r="B79" s="49"/>
      <c r="C79" s="390"/>
      <c r="D79" s="391"/>
      <c r="E79" s="220"/>
      <c r="F79" s="221"/>
      <c r="G79" s="176"/>
      <c r="H79" s="49"/>
      <c r="I79" s="49"/>
      <c r="J79" s="49"/>
      <c r="K79" s="49"/>
      <c r="L79" s="49"/>
    </row>
    <row r="80" spans="2:12" x14ac:dyDescent="0.15">
      <c r="B80" s="49"/>
      <c r="C80" s="386" t="s">
        <v>201</v>
      </c>
      <c r="D80" s="387"/>
      <c r="E80" s="200">
        <f>SUM($E$74:$E$79)</f>
        <v>0</v>
      </c>
      <c r="F80" s="216"/>
      <c r="G80" s="176"/>
      <c r="H80" s="49"/>
      <c r="I80" s="49"/>
      <c r="J80" s="49"/>
      <c r="K80" s="49"/>
      <c r="L80" s="49"/>
    </row>
    <row r="81" spans="2:12" x14ac:dyDescent="0.15">
      <c r="B81" s="49"/>
      <c r="C81" s="386" t="s">
        <v>147</v>
      </c>
      <c r="D81" s="387"/>
      <c r="E81" s="202">
        <f>$E$14</f>
        <v>0</v>
      </c>
      <c r="F81" s="216" t="s">
        <v>184</v>
      </c>
      <c r="G81" s="176"/>
      <c r="H81" s="49"/>
      <c r="I81" s="49"/>
      <c r="J81" s="49"/>
      <c r="K81" s="49"/>
      <c r="L81" s="49"/>
    </row>
    <row r="82" spans="2:12" x14ac:dyDescent="0.15">
      <c r="B82" s="49"/>
      <c r="C82" s="386" t="s">
        <v>185</v>
      </c>
      <c r="D82" s="387"/>
      <c r="E82" s="200" t="str">
        <f>IF($E$71="Yes",$E$81-$E$80,"")</f>
        <v/>
      </c>
      <c r="F82" s="176"/>
      <c r="G82" s="176"/>
      <c r="H82" s="49"/>
      <c r="I82" s="49"/>
      <c r="J82" s="49"/>
      <c r="K82" s="49"/>
      <c r="L82" s="49"/>
    </row>
    <row r="83" spans="2:12" x14ac:dyDescent="0.15">
      <c r="B83" s="49"/>
      <c r="C83" s="363" t="s">
        <v>187</v>
      </c>
      <c r="D83" s="364"/>
      <c r="E83" s="203" t="str">
        <f>IF($E$71="Yes",IF(ABS($E$82)&gt;$E$48,"No, Investigate","Yes"),"")</f>
        <v/>
      </c>
      <c r="F83" s="176"/>
      <c r="G83" s="176"/>
      <c r="H83" s="49"/>
      <c r="I83" s="49"/>
      <c r="J83" s="49"/>
      <c r="K83" s="49"/>
      <c r="L83" s="49"/>
    </row>
    <row r="84" spans="2:12" x14ac:dyDescent="0.15">
      <c r="B84" s="49"/>
      <c r="C84" s="230"/>
      <c r="D84" s="230"/>
      <c r="E84" s="176"/>
      <c r="F84" s="176"/>
      <c r="G84" s="176"/>
      <c r="H84" s="49"/>
      <c r="I84" s="49"/>
      <c r="J84" s="49"/>
      <c r="K84" s="49"/>
      <c r="L84" s="49"/>
    </row>
    <row r="85" spans="2:12" x14ac:dyDescent="0.15">
      <c r="B85" s="49"/>
      <c r="C85" s="331" t="s">
        <v>202</v>
      </c>
      <c r="D85" s="332"/>
      <c r="E85" s="199" t="s">
        <v>118</v>
      </c>
      <c r="F85" s="207" t="s">
        <v>191</v>
      </c>
      <c r="G85" s="180" t="s">
        <v>192</v>
      </c>
      <c r="H85" s="49"/>
      <c r="I85" s="49"/>
      <c r="J85" s="49"/>
      <c r="K85" s="49"/>
      <c r="L85" s="49"/>
    </row>
    <row r="86" spans="2:12" x14ac:dyDescent="0.15">
      <c r="B86" s="49"/>
      <c r="C86" s="388"/>
      <c r="D86" s="389"/>
      <c r="E86" s="183"/>
      <c r="F86" s="182"/>
      <c r="G86" s="223"/>
      <c r="H86" s="49"/>
      <c r="I86" s="49"/>
      <c r="J86" s="49"/>
      <c r="K86" s="49"/>
      <c r="L86" s="49"/>
    </row>
    <row r="87" spans="2:12" x14ac:dyDescent="0.15">
      <c r="B87" s="49"/>
      <c r="C87" s="382"/>
      <c r="D87" s="383"/>
      <c r="E87" s="183"/>
      <c r="F87" s="182"/>
      <c r="G87" s="223"/>
      <c r="H87" s="49"/>
      <c r="I87" s="49"/>
      <c r="J87" s="49"/>
      <c r="K87" s="49"/>
      <c r="L87" s="49"/>
    </row>
    <row r="88" spans="2:12" x14ac:dyDescent="0.15">
      <c r="B88" s="49"/>
      <c r="C88" s="384" t="s">
        <v>193</v>
      </c>
      <c r="D88" s="385"/>
      <c r="E88" s="211">
        <f>SUM($E$86:$E$87)</f>
        <v>0</v>
      </c>
      <c r="F88" s="176"/>
      <c r="G88" s="176"/>
      <c r="H88" s="49"/>
      <c r="I88" s="49"/>
      <c r="J88" s="49"/>
      <c r="K88" s="49"/>
      <c r="L88" s="49"/>
    </row>
    <row r="89" spans="2:12" x14ac:dyDescent="0.15">
      <c r="B89" s="49"/>
      <c r="C89" s="384" t="s">
        <v>194</v>
      </c>
      <c r="D89" s="385"/>
      <c r="E89" s="212" t="str">
        <f>$E$82</f>
        <v/>
      </c>
      <c r="F89" s="176"/>
      <c r="G89" s="213" t="str">
        <f>IF(ISERROR(MATCH("Yes",G86:G87,0)),"","Enter all identified misstatements in the Findings module/Evaluation of Misstatements form")</f>
        <v/>
      </c>
      <c r="H89" s="49"/>
      <c r="I89" s="49"/>
      <c r="J89" s="49"/>
      <c r="K89" s="49"/>
      <c r="L89" s="49"/>
    </row>
    <row r="90" spans="2:12" x14ac:dyDescent="0.15">
      <c r="B90" s="49"/>
      <c r="C90" s="325" t="s">
        <v>195</v>
      </c>
      <c r="D90" s="326"/>
      <c r="E90" s="211" t="str">
        <f>IF($E$71="Yes",ABS($E$88-$E$89),"")</f>
        <v/>
      </c>
      <c r="F90" s="176"/>
      <c r="G90" s="176"/>
      <c r="H90" s="49"/>
      <c r="I90" s="49"/>
      <c r="J90" s="49"/>
      <c r="K90" s="49"/>
      <c r="L90" s="49"/>
    </row>
    <row r="91" spans="2:12" x14ac:dyDescent="0.15">
      <c r="B91" s="49"/>
      <c r="C91" s="224"/>
      <c r="D91" s="224"/>
      <c r="E91" s="176"/>
      <c r="F91" s="176"/>
      <c r="G91" s="176"/>
      <c r="H91" s="49"/>
      <c r="I91" s="49"/>
      <c r="J91" s="49"/>
      <c r="K91" s="49"/>
      <c r="L91" s="49"/>
    </row>
    <row r="92" spans="2:12" x14ac:dyDescent="0.15">
      <c r="B92" s="49"/>
      <c r="C92" s="114"/>
      <c r="D92" s="114"/>
      <c r="E92" s="114"/>
      <c r="F92" s="114"/>
      <c r="G92" s="49"/>
      <c r="H92" s="49"/>
      <c r="I92" s="49"/>
      <c r="J92" s="49"/>
      <c r="K92" s="49"/>
      <c r="L92" s="49"/>
    </row>
  </sheetData>
  <mergeCells count="58">
    <mergeCell ref="C19:D19"/>
    <mergeCell ref="D9:G9"/>
    <mergeCell ref="C13:D13"/>
    <mergeCell ref="C14:D14"/>
    <mergeCell ref="C16:G16"/>
    <mergeCell ref="C18:D18"/>
    <mergeCell ref="C36:E36"/>
    <mergeCell ref="C20:D20"/>
    <mergeCell ref="C21:D21"/>
    <mergeCell ref="C22:D22"/>
    <mergeCell ref="C23:D23"/>
    <mergeCell ref="C25:D25"/>
    <mergeCell ref="C26:D26"/>
    <mergeCell ref="C27:D27"/>
    <mergeCell ref="C28:D28"/>
    <mergeCell ref="C30:G30"/>
    <mergeCell ref="C32:G32"/>
    <mergeCell ref="C34:G34"/>
    <mergeCell ref="C59:G59"/>
    <mergeCell ref="E37:E43"/>
    <mergeCell ref="C45:D45"/>
    <mergeCell ref="C46:D46"/>
    <mergeCell ref="C47:D47"/>
    <mergeCell ref="C48:D48"/>
    <mergeCell ref="C51:G51"/>
    <mergeCell ref="C53:D53"/>
    <mergeCell ref="C54:D54"/>
    <mergeCell ref="C55:D55"/>
    <mergeCell ref="C56:D56"/>
    <mergeCell ref="C57:D57"/>
    <mergeCell ref="F71:G71"/>
    <mergeCell ref="C73:D73"/>
    <mergeCell ref="C61:D61"/>
    <mergeCell ref="C62:D62"/>
    <mergeCell ref="C63:D63"/>
    <mergeCell ref="C64:D64"/>
    <mergeCell ref="C65:D65"/>
    <mergeCell ref="C66:D66"/>
    <mergeCell ref="C79:D79"/>
    <mergeCell ref="C67:D67"/>
    <mergeCell ref="C68:D68"/>
    <mergeCell ref="C69:D69"/>
    <mergeCell ref="C71:D71"/>
    <mergeCell ref="C74:D74"/>
    <mergeCell ref="C75:D75"/>
    <mergeCell ref="C76:D76"/>
    <mergeCell ref="C77:D77"/>
    <mergeCell ref="C78:D78"/>
    <mergeCell ref="C87:D87"/>
    <mergeCell ref="C88:D88"/>
    <mergeCell ref="C89:D89"/>
    <mergeCell ref="C90:D90"/>
    <mergeCell ref="C80:D80"/>
    <mergeCell ref="C81:D81"/>
    <mergeCell ref="C82:D82"/>
    <mergeCell ref="C83:D83"/>
    <mergeCell ref="C85:D85"/>
    <mergeCell ref="C86:D86"/>
  </mergeCells>
  <conditionalFormatting sqref="E48">
    <cfRule type="cellIs" dxfId="53" priority="36" operator="equal">
      <formula>"Invalid selection"</formula>
    </cfRule>
  </conditionalFormatting>
  <conditionalFormatting sqref="E57">
    <cfRule type="cellIs" dxfId="52" priority="33" operator="equal">
      <formula>"Invalid selection"</formula>
    </cfRule>
    <cfRule type="containsText" dxfId="51" priority="34" operator="containsText" text="Yes">
      <formula>NOT(ISERROR(SEARCH("Yes",E57)))</formula>
    </cfRule>
    <cfRule type="containsText" dxfId="50" priority="35" operator="containsText" text="No">
      <formula>NOT(ISERROR(SEARCH("No",E57)))</formula>
    </cfRule>
  </conditionalFormatting>
  <conditionalFormatting sqref="E69">
    <cfRule type="cellIs" dxfId="49" priority="32" operator="notEqual">
      <formula>0</formula>
    </cfRule>
  </conditionalFormatting>
  <conditionalFormatting sqref="E83">
    <cfRule type="containsText" dxfId="48" priority="30" operator="containsText" text="Yes">
      <formula>NOT(ISERROR(SEARCH("Yes",E83)))</formula>
    </cfRule>
    <cfRule type="containsText" dxfId="47" priority="31" operator="containsText" text="No">
      <formula>NOT(ISERROR(SEARCH("No",E83)))</formula>
    </cfRule>
  </conditionalFormatting>
  <conditionalFormatting sqref="E90">
    <cfRule type="expression" dxfId="46" priority="43">
      <formula>AND(#REF!&lt;&gt;"",#REF!&lt;&gt;0)</formula>
    </cfRule>
  </conditionalFormatting>
  <conditionalFormatting sqref="E46">
    <cfRule type="cellIs" dxfId="45" priority="29" operator="equal">
      <formula>"Invalid selection"</formula>
    </cfRule>
  </conditionalFormatting>
  <conditionalFormatting sqref="G62:G66">
    <cfRule type="cellIs" dxfId="44" priority="24" operator="equal">
      <formula>"No"</formula>
    </cfRule>
    <cfRule type="cellIs" dxfId="43" priority="25" operator="equal">
      <formula>"Yes"</formula>
    </cfRule>
    <cfRule type="cellIs" dxfId="42" priority="26" operator="equal">
      <formula>""</formula>
    </cfRule>
  </conditionalFormatting>
  <conditionalFormatting sqref="G86:G87">
    <cfRule type="cellIs" dxfId="41" priority="21" operator="equal">
      <formula>"No"</formula>
    </cfRule>
    <cfRule type="cellIs" dxfId="40" priority="22" operator="equal">
      <formula>"Yes"</formula>
    </cfRule>
    <cfRule type="cellIs" dxfId="39" priority="23" operator="equal">
      <formula>""</formula>
    </cfRule>
  </conditionalFormatting>
  <conditionalFormatting sqref="E71">
    <cfRule type="containsText" dxfId="38" priority="11" operator="containsText" text="Improperly">
      <formula>NOT(ISERROR(SEARCH("Improperly",E71)))</formula>
    </cfRule>
    <cfRule type="containsText" dxfId="37" priority="12" operator="containsText" text="Properly">
      <formula>NOT(ISERROR(SEARCH("Properly",E71)))</formula>
    </cfRule>
  </conditionalFormatting>
  <conditionalFormatting sqref="E45">
    <cfRule type="containsText" dxfId="36" priority="9" operator="containsText" text="Improperly">
      <formula>NOT(ISERROR(SEARCH("Improperly",E45)))</formula>
    </cfRule>
    <cfRule type="containsText" dxfId="35" priority="10" operator="containsText" text="Properly">
      <formula>NOT(ISERROR(SEARCH("Properly",E45)))</formula>
    </cfRule>
  </conditionalFormatting>
  <conditionalFormatting sqref="G3">
    <cfRule type="containsText" dxfId="34" priority="7" operator="containsText" text="No ">
      <formula>NOT(ISERROR(SEARCH("No ",G3)))</formula>
    </cfRule>
    <cfRule type="containsText" dxfId="33" priority="8" operator="containsText" text="Differences">
      <formula>NOT(ISERROR(SEARCH("Differences",G3)))</formula>
    </cfRule>
  </conditionalFormatting>
  <conditionalFormatting sqref="G5">
    <cfRule type="containsText" dxfId="32" priority="5" operator="containsText" text="Yes">
      <formula>NOT(ISERROR(SEARCH("Yes",G5)))</formula>
    </cfRule>
    <cfRule type="containsText" dxfId="31" priority="6" operator="containsText" text="No">
      <formula>NOT(ISERROR(SEARCH("No",G5)))</formula>
    </cfRule>
  </conditionalFormatting>
  <conditionalFormatting sqref="G4">
    <cfRule type="containsText" dxfId="30" priority="1" operator="containsText" text="Other">
      <formula>NOT(ISERROR(SEARCH("Other",G4)))</formula>
    </cfRule>
    <cfRule type="containsText" dxfId="29" priority="2" operator="containsText" text="&gt; CTT">
      <formula>NOT(ISERROR(SEARCH("&gt; CTT",G4)))</formula>
    </cfRule>
    <cfRule type="containsText" dxfId="28" priority="3" operator="containsText" text="Fraud">
      <formula>NOT(ISERROR(SEARCH("Fraud",G4)))</formula>
    </cfRule>
    <cfRule type="containsText" dxfId="27" priority="4" operator="containsText" text="None">
      <formula>NOT(ISERROR(SEARCH("None",G4)))</formula>
    </cfRule>
  </conditionalFormatting>
  <dataValidations count="1">
    <dataValidation type="list" allowBlank="1" showInputMessage="1" showErrorMessage="1" sqref="G62:G66 G86:G87" xr:uid="{00000000-0002-0000-0400-000000000000}">
      <formula1>"Yes,No"</formula1>
    </dataValidation>
  </dataValidations>
  <hyperlinks>
    <hyperlink ref="C32:G32" location="'2E. SAP IPE'!A1" display="See IPE tab for documentation of the work performed to confirm the completeness and accuracy of IPE." xr:uid="{00000000-0004-0000-0400-000000000000}"/>
    <hyperlink ref="I2" location="'0. Summary Tab'!A1" display="Click here to return to Summary tab" xr:uid="{EB3E5C5A-73E8-4623-ACA3-E07B474ACAE7}"/>
  </hyperlinks>
  <pageMargins left="0.75" right="0.75" top="1" bottom="1" header="0.5" footer="0.5"/>
  <pageSetup scale="30" fitToWidth="0" orientation="landscape" r:id="rId1"/>
  <headerFooter alignWithMargins="0"/>
  <customProperties>
    <customPr name="EpmWorksheetKeyString_GUID" r:id="rId2"/>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'Parameters (Hide)'!$C$1:$C$3</xm:f>
          </x14:formula1>
          <xm:sqref>G5 E71 E45</xm:sqref>
        </x14:dataValidation>
        <x14:dataValidation type="list" allowBlank="1" showInputMessage="1" showErrorMessage="1" xr:uid="{00000000-0002-0000-0400-000002000000}">
          <x14:formula1>
            <xm:f>'Parameters (Hide)'!$G$1:$G$10</xm:f>
          </x14:formula1>
          <xm:sqref>G4</xm:sqref>
        </x14:dataValidation>
        <x14:dataValidation type="list" allowBlank="1" showInputMessage="1" showErrorMessage="1" xr:uid="{00000000-0002-0000-0400-000003000000}">
          <x14:formula1>
            <xm:f>'Parameters (Hide)'!$F$1:$F$3</xm:f>
          </x14:formula1>
          <xm:sqref>G3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B2:L93"/>
  <sheetViews>
    <sheetView showGridLines="0" zoomScaleNormal="100" workbookViewId="0"/>
  </sheetViews>
  <sheetFormatPr defaultColWidth="8.796875" defaultRowHeight="10.5" x14ac:dyDescent="0.15"/>
  <cols>
    <col min="1" max="1" width="2.19921875" style="33" bestFit="1" customWidth="1"/>
    <col min="2" max="2" width="6.69921875" style="33" bestFit="1" customWidth="1"/>
    <col min="3" max="4" width="16" style="33" customWidth="1"/>
    <col min="5" max="5" width="12.69921875" style="33" customWidth="1"/>
    <col min="6" max="6" width="25.69921875" style="33" bestFit="1" customWidth="1"/>
    <col min="7" max="7" width="34.19921875" style="33" customWidth="1"/>
    <col min="8" max="8" width="4.69921875" style="33" customWidth="1"/>
    <col min="9" max="11" width="15.59765625" style="33" customWidth="1"/>
    <col min="12" max="12" width="4.69921875" style="33" customWidth="1"/>
    <col min="13" max="16384" width="8.796875" style="33"/>
  </cols>
  <sheetData>
    <row r="2" spans="2:12" x14ac:dyDescent="0.15">
      <c r="B2" s="49"/>
      <c r="C2" s="49"/>
      <c r="D2" s="49"/>
      <c r="E2" s="49"/>
      <c r="F2" s="49"/>
      <c r="G2" s="49"/>
      <c r="H2" s="49"/>
      <c r="I2" s="140" t="s">
        <v>25</v>
      </c>
      <c r="J2" s="49"/>
      <c r="K2" s="49"/>
      <c r="L2" s="49"/>
    </row>
    <row r="3" spans="2:12" x14ac:dyDescent="0.15">
      <c r="B3" s="3" t="s">
        <v>1</v>
      </c>
      <c r="C3" s="141" t="str">
        <f>'0. Summary Tab'!$C$5</f>
        <v>ABC Inc.</v>
      </c>
      <c r="D3" s="66"/>
      <c r="E3" s="49"/>
      <c r="F3" s="143" t="s">
        <v>26</v>
      </c>
      <c r="G3" s="248" t="s">
        <v>14</v>
      </c>
      <c r="H3" s="49"/>
      <c r="I3" s="145" t="s">
        <v>3</v>
      </c>
      <c r="J3" s="145" t="s">
        <v>4</v>
      </c>
      <c r="K3" s="146" t="s">
        <v>5</v>
      </c>
      <c r="L3" s="49"/>
    </row>
    <row r="4" spans="2:12" x14ac:dyDescent="0.15">
      <c r="B4" s="6" t="s">
        <v>6</v>
      </c>
      <c r="C4" s="275" t="str">
        <f>'0. Summary Tab'!$C$6</f>
        <v>12/31/20XX</v>
      </c>
      <c r="D4" s="172"/>
      <c r="E4" s="49"/>
      <c r="F4" s="143" t="s">
        <v>27</v>
      </c>
      <c r="G4" s="249" t="s">
        <v>14</v>
      </c>
      <c r="H4" s="49"/>
      <c r="I4" s="142">
        <f>'0. Summary Tab'!$E$6</f>
        <v>0</v>
      </c>
      <c r="J4" s="142">
        <f>'0. Summary Tab'!$F$6</f>
        <v>0</v>
      </c>
      <c r="K4" s="142">
        <f>'0. Summary Tab'!$G$6</f>
        <v>0</v>
      </c>
      <c r="L4" s="49"/>
    </row>
    <row r="5" spans="2:12" x14ac:dyDescent="0.15">
      <c r="B5" s="147"/>
      <c r="C5" s="131"/>
      <c r="D5" s="131"/>
      <c r="E5" s="49"/>
      <c r="F5" s="143" t="s">
        <v>28</v>
      </c>
      <c r="G5" s="249" t="s">
        <v>14</v>
      </c>
      <c r="H5" s="49"/>
      <c r="I5" s="49"/>
      <c r="J5" s="49"/>
      <c r="K5" s="49"/>
      <c r="L5" s="49"/>
    </row>
    <row r="6" spans="2:12" x14ac:dyDescent="0.15">
      <c r="B6" s="49"/>
      <c r="C6" s="49"/>
      <c r="D6" s="49"/>
      <c r="E6" s="49"/>
      <c r="F6" s="49"/>
      <c r="G6" s="49"/>
      <c r="H6" s="49"/>
      <c r="I6" s="49"/>
      <c r="J6" s="49"/>
      <c r="K6" s="49"/>
      <c r="L6" s="49"/>
    </row>
    <row r="7" spans="2:12" x14ac:dyDescent="0.15">
      <c r="B7" s="51"/>
      <c r="C7" s="52"/>
      <c r="D7" s="52"/>
      <c r="E7" s="52"/>
      <c r="F7" s="52"/>
      <c r="G7" s="52"/>
      <c r="H7" s="52"/>
      <c r="I7" s="52"/>
      <c r="J7" s="52"/>
    </row>
    <row r="8" spans="2:12" x14ac:dyDescent="0.15">
      <c r="B8" s="49"/>
      <c r="C8" s="149"/>
      <c r="D8" s="149"/>
      <c r="E8" s="129"/>
      <c r="F8" s="151"/>
      <c r="G8" s="129"/>
      <c r="H8" s="173"/>
      <c r="I8" s="50"/>
      <c r="J8" s="49"/>
      <c r="K8" s="49"/>
      <c r="L8" s="49"/>
    </row>
    <row r="9" spans="2:12" ht="10.5" customHeight="1" x14ac:dyDescent="0.15">
      <c r="B9" s="49"/>
      <c r="C9" s="174" t="s">
        <v>29</v>
      </c>
      <c r="D9" s="369" t="s">
        <v>155</v>
      </c>
      <c r="E9" s="370"/>
      <c r="F9" s="370"/>
      <c r="G9" s="371"/>
      <c r="H9" s="173"/>
      <c r="I9" s="50"/>
      <c r="J9" s="49"/>
      <c r="K9" s="49"/>
      <c r="L9" s="49"/>
    </row>
    <row r="10" spans="2:12" x14ac:dyDescent="0.15">
      <c r="B10" s="49"/>
      <c r="C10" s="149"/>
      <c r="D10" s="149"/>
      <c r="E10" s="129"/>
      <c r="F10" s="151"/>
      <c r="G10" s="129"/>
      <c r="H10" s="173"/>
      <c r="I10" s="50"/>
      <c r="J10" s="49"/>
      <c r="K10" s="49"/>
      <c r="L10" s="49"/>
    </row>
    <row r="11" spans="2:12" x14ac:dyDescent="0.15">
      <c r="C11" s="57"/>
      <c r="D11" s="57"/>
      <c r="E11" s="58"/>
      <c r="F11" s="59"/>
      <c r="G11" s="130"/>
      <c r="H11" s="60"/>
    </row>
    <row r="12" spans="2:12" x14ac:dyDescent="0.15">
      <c r="B12" s="49"/>
      <c r="C12" s="66"/>
      <c r="D12" s="66"/>
      <c r="E12" s="50"/>
      <c r="F12" s="131"/>
      <c r="G12" s="50"/>
      <c r="H12" s="50"/>
      <c r="I12" s="50"/>
      <c r="J12" s="50"/>
      <c r="K12" s="50"/>
      <c r="L12" s="50"/>
    </row>
    <row r="13" spans="2:12" x14ac:dyDescent="0.15">
      <c r="B13" s="49"/>
      <c r="C13" s="372" t="s">
        <v>156</v>
      </c>
      <c r="D13" s="373"/>
      <c r="E13" s="175" t="s">
        <v>147</v>
      </c>
      <c r="F13" s="176"/>
      <c r="G13" s="49"/>
      <c r="H13" s="49"/>
      <c r="I13" s="49"/>
      <c r="J13" s="49"/>
      <c r="K13" s="49"/>
      <c r="L13" s="49"/>
    </row>
    <row r="14" spans="2:12" x14ac:dyDescent="0.15">
      <c r="B14" s="49"/>
      <c r="C14" s="374" t="str">
        <f>'2. SAP Considerations'!$C$30</f>
        <v>Disaggregated Part 3</v>
      </c>
      <c r="D14" s="375"/>
      <c r="E14" s="177">
        <f>'2. SAP Considerations'!$E$30</f>
        <v>0</v>
      </c>
      <c r="F14" s="178" t="s">
        <v>157</v>
      </c>
      <c r="G14" s="49"/>
      <c r="H14" s="49"/>
      <c r="I14" s="49"/>
      <c r="J14" s="49"/>
      <c r="K14" s="49"/>
      <c r="L14" s="49"/>
    </row>
    <row r="15" spans="2:12" x14ac:dyDescent="0.15">
      <c r="B15" s="49"/>
      <c r="C15" s="49"/>
      <c r="D15" s="49"/>
      <c r="E15" s="49"/>
      <c r="F15" s="49"/>
      <c r="G15" s="49"/>
      <c r="H15" s="49"/>
      <c r="I15" s="49"/>
      <c r="J15" s="49"/>
      <c r="K15" s="49"/>
      <c r="L15" s="49"/>
    </row>
    <row r="16" spans="2:12" x14ac:dyDescent="0.15">
      <c r="B16" s="179" t="s">
        <v>158</v>
      </c>
      <c r="C16" s="337" t="s">
        <v>159</v>
      </c>
      <c r="D16" s="346"/>
      <c r="E16" s="346"/>
      <c r="F16" s="346"/>
      <c r="G16" s="338"/>
      <c r="H16" s="49"/>
      <c r="I16" s="49"/>
      <c r="J16" s="49"/>
      <c r="K16" s="49"/>
      <c r="L16" s="49"/>
    </row>
    <row r="17" spans="2:12" x14ac:dyDescent="0.15">
      <c r="B17" s="49"/>
      <c r="C17" s="49"/>
      <c r="D17" s="49"/>
      <c r="E17" s="49"/>
      <c r="F17" s="49"/>
      <c r="G17" s="49"/>
      <c r="H17" s="49"/>
      <c r="I17" s="49"/>
      <c r="J17" s="49"/>
      <c r="K17" s="49"/>
      <c r="L17" s="49"/>
    </row>
    <row r="18" spans="2:12" x14ac:dyDescent="0.15">
      <c r="B18" s="49"/>
      <c r="C18" s="376" t="s">
        <v>160</v>
      </c>
      <c r="D18" s="377"/>
      <c r="E18" s="180" t="s">
        <v>161</v>
      </c>
      <c r="F18" s="180" t="s">
        <v>162</v>
      </c>
      <c r="G18" s="180" t="s">
        <v>163</v>
      </c>
      <c r="H18" s="49"/>
      <c r="I18" s="49"/>
      <c r="J18" s="49"/>
      <c r="K18" s="49"/>
      <c r="L18" s="49"/>
    </row>
    <row r="19" spans="2:12" x14ac:dyDescent="0.15">
      <c r="B19" s="49"/>
      <c r="C19" s="367"/>
      <c r="D19" s="368"/>
      <c r="E19" s="181"/>
      <c r="F19" s="182"/>
      <c r="G19" s="182"/>
      <c r="H19" s="49"/>
      <c r="I19" s="49"/>
      <c r="J19" s="49"/>
      <c r="K19" s="49"/>
      <c r="L19" s="49"/>
    </row>
    <row r="20" spans="2:12" x14ac:dyDescent="0.15">
      <c r="B20" s="49"/>
      <c r="C20" s="367"/>
      <c r="D20" s="368"/>
      <c r="E20" s="181"/>
      <c r="F20" s="182"/>
      <c r="G20" s="182"/>
      <c r="H20" s="49"/>
      <c r="I20" s="49"/>
      <c r="J20" s="49"/>
      <c r="K20" s="49"/>
      <c r="L20" s="49"/>
    </row>
    <row r="21" spans="2:12" x14ac:dyDescent="0.15">
      <c r="B21" s="49"/>
      <c r="C21" s="367"/>
      <c r="D21" s="368"/>
      <c r="E21" s="181"/>
      <c r="F21" s="182"/>
      <c r="G21" s="182"/>
      <c r="H21" s="49"/>
      <c r="I21" s="49"/>
      <c r="J21" s="49"/>
      <c r="K21" s="49"/>
      <c r="L21" s="49"/>
    </row>
    <row r="22" spans="2:12" x14ac:dyDescent="0.15">
      <c r="B22" s="49"/>
      <c r="C22" s="367"/>
      <c r="D22" s="368"/>
      <c r="E22" s="181"/>
      <c r="F22" s="182"/>
      <c r="G22" s="182"/>
      <c r="H22" s="49"/>
      <c r="I22" s="49"/>
      <c r="J22" s="49"/>
      <c r="K22" s="49"/>
      <c r="L22" s="49"/>
    </row>
    <row r="23" spans="2:12" x14ac:dyDescent="0.15">
      <c r="B23" s="49"/>
      <c r="C23" s="184"/>
      <c r="D23" s="185"/>
      <c r="E23" s="181"/>
      <c r="F23" s="182"/>
      <c r="G23" s="182"/>
      <c r="H23" s="49"/>
      <c r="I23" s="49"/>
      <c r="J23" s="49"/>
      <c r="K23" s="49"/>
      <c r="L23" s="49"/>
    </row>
    <row r="24" spans="2:12" x14ac:dyDescent="0.15">
      <c r="B24" s="49"/>
      <c r="C24" s="367"/>
      <c r="D24" s="368"/>
      <c r="E24" s="183"/>
      <c r="F24" s="182"/>
      <c r="G24" s="182"/>
      <c r="H24" s="49"/>
      <c r="I24" s="49"/>
      <c r="J24" s="49"/>
      <c r="K24" s="49"/>
      <c r="L24" s="49"/>
    </row>
    <row r="25" spans="2:12" x14ac:dyDescent="0.15">
      <c r="B25" s="49"/>
      <c r="C25" s="367"/>
      <c r="D25" s="368"/>
      <c r="E25" s="183"/>
      <c r="F25" s="182"/>
      <c r="G25" s="182"/>
      <c r="H25" s="49"/>
      <c r="I25" s="49"/>
      <c r="J25" s="49"/>
      <c r="K25" s="49"/>
      <c r="L25" s="49"/>
    </row>
    <row r="26" spans="2:12" x14ac:dyDescent="0.15">
      <c r="B26" s="49"/>
      <c r="C26" s="367"/>
      <c r="D26" s="368"/>
      <c r="E26" s="183"/>
      <c r="F26" s="182"/>
      <c r="G26" s="182"/>
      <c r="H26" s="49"/>
      <c r="I26" s="49"/>
      <c r="J26" s="49"/>
      <c r="K26" s="49"/>
      <c r="L26" s="49"/>
    </row>
    <row r="27" spans="2:12" x14ac:dyDescent="0.15">
      <c r="B27" s="49"/>
      <c r="C27" s="367"/>
      <c r="D27" s="368"/>
      <c r="E27" s="183"/>
      <c r="F27" s="182"/>
      <c r="G27" s="182"/>
      <c r="H27" s="49"/>
      <c r="I27" s="49"/>
      <c r="J27" s="49"/>
      <c r="K27" s="49"/>
      <c r="L27" s="49"/>
    </row>
    <row r="28" spans="2:12" ht="11.25" thickBot="1" x14ac:dyDescent="0.2">
      <c r="B28" s="49"/>
      <c r="C28" s="349" t="s">
        <v>164</v>
      </c>
      <c r="D28" s="350"/>
      <c r="E28" s="186"/>
      <c r="F28" s="178" t="s">
        <v>165</v>
      </c>
      <c r="G28" s="176"/>
      <c r="H28" s="49"/>
      <c r="I28" s="49"/>
      <c r="J28" s="49"/>
      <c r="K28" s="49"/>
      <c r="L28" s="49"/>
    </row>
    <row r="29" spans="2:12" x14ac:dyDescent="0.15">
      <c r="B29" s="49"/>
      <c r="C29" s="49"/>
      <c r="D29" s="49"/>
      <c r="E29" s="49"/>
      <c r="F29" s="49"/>
      <c r="G29" s="49"/>
      <c r="H29" s="49"/>
      <c r="I29" s="49"/>
      <c r="J29" s="49"/>
      <c r="K29" s="49"/>
      <c r="L29" s="49"/>
    </row>
    <row r="30" spans="2:12" x14ac:dyDescent="0.15">
      <c r="B30" s="179" t="s">
        <v>166</v>
      </c>
      <c r="C30" s="351" t="s">
        <v>167</v>
      </c>
      <c r="D30" s="352"/>
      <c r="E30" s="352"/>
      <c r="F30" s="352"/>
      <c r="G30" s="353"/>
      <c r="H30" s="49"/>
      <c r="I30" s="49"/>
      <c r="J30" s="49"/>
      <c r="K30" s="49"/>
      <c r="L30" s="49"/>
    </row>
    <row r="31" spans="2:12" x14ac:dyDescent="0.15">
      <c r="B31" s="187"/>
      <c r="C31" s="188"/>
      <c r="D31" s="188"/>
      <c r="E31" s="225"/>
      <c r="F31" s="225"/>
      <c r="G31" s="225"/>
      <c r="H31" s="50"/>
      <c r="I31" s="49"/>
      <c r="J31" s="49"/>
      <c r="K31" s="49"/>
      <c r="L31" s="49"/>
    </row>
    <row r="32" spans="2:12" ht="11.25" x14ac:dyDescent="0.15">
      <c r="B32" s="187"/>
      <c r="C32" s="354" t="s">
        <v>168</v>
      </c>
      <c r="D32" s="355"/>
      <c r="E32" s="355"/>
      <c r="F32" s="355"/>
      <c r="G32" s="356"/>
      <c r="H32" s="49"/>
      <c r="I32" s="49"/>
      <c r="J32" s="49"/>
      <c r="K32" s="49"/>
      <c r="L32" s="49"/>
    </row>
    <row r="33" spans="2:12" x14ac:dyDescent="0.15">
      <c r="B33" s="32"/>
      <c r="C33" s="49"/>
      <c r="D33" s="49"/>
      <c r="E33" s="49"/>
      <c r="F33" s="49"/>
      <c r="G33" s="49"/>
      <c r="H33" s="49"/>
      <c r="I33" s="49"/>
      <c r="J33" s="49"/>
      <c r="K33" s="49"/>
      <c r="L33" s="49"/>
    </row>
    <row r="34" spans="2:12" x14ac:dyDescent="0.15">
      <c r="B34" s="179" t="s">
        <v>169</v>
      </c>
      <c r="C34" s="337" t="s">
        <v>170</v>
      </c>
      <c r="D34" s="346"/>
      <c r="E34" s="346"/>
      <c r="F34" s="346"/>
      <c r="G34" s="338"/>
      <c r="H34" s="49"/>
      <c r="I34" s="49"/>
      <c r="J34" s="49"/>
      <c r="K34" s="49"/>
      <c r="L34" s="49"/>
    </row>
    <row r="35" spans="2:12" x14ac:dyDescent="0.15">
      <c r="B35" s="49"/>
      <c r="C35" s="49"/>
      <c r="D35" s="49"/>
      <c r="E35" s="49"/>
      <c r="F35" s="49"/>
      <c r="G35" s="49"/>
      <c r="H35" s="49"/>
      <c r="I35" s="49"/>
      <c r="J35" s="49"/>
      <c r="K35" s="49"/>
      <c r="L35" s="49"/>
    </row>
    <row r="36" spans="2:12" x14ac:dyDescent="0.15">
      <c r="B36" s="49"/>
      <c r="C36" s="357" t="s">
        <v>171</v>
      </c>
      <c r="D36" s="358"/>
      <c r="E36" s="359"/>
      <c r="F36" s="49"/>
      <c r="G36" s="49"/>
      <c r="H36" s="49"/>
      <c r="I36" s="49"/>
      <c r="J36" s="49"/>
      <c r="K36" s="49"/>
      <c r="L36" s="49"/>
    </row>
    <row r="37" spans="2:12" x14ac:dyDescent="0.15">
      <c r="B37" s="49"/>
      <c r="C37" s="190" t="s">
        <v>172</v>
      </c>
      <c r="D37" s="191"/>
      <c r="E37" s="360" t="s">
        <v>31</v>
      </c>
      <c r="F37" s="49"/>
      <c r="G37" s="49"/>
      <c r="H37" s="49"/>
      <c r="I37" s="49"/>
      <c r="J37" s="49"/>
      <c r="K37" s="49"/>
      <c r="L37" s="49"/>
    </row>
    <row r="38" spans="2:12" x14ac:dyDescent="0.15">
      <c r="B38" s="49"/>
      <c r="C38" s="192" t="s">
        <v>173</v>
      </c>
      <c r="D38" s="153"/>
      <c r="E38" s="361"/>
      <c r="F38" s="49"/>
      <c r="G38" s="49"/>
      <c r="H38" s="49"/>
      <c r="I38" s="49"/>
      <c r="J38" s="49"/>
      <c r="K38" s="49"/>
      <c r="L38" s="49"/>
    </row>
    <row r="39" spans="2:12" x14ac:dyDescent="0.15">
      <c r="B39" s="49"/>
      <c r="C39" s="192" t="s">
        <v>174</v>
      </c>
      <c r="D39" s="153"/>
      <c r="E39" s="361"/>
      <c r="F39" s="49"/>
      <c r="G39" s="49"/>
      <c r="H39" s="49"/>
      <c r="I39" s="49"/>
      <c r="J39" s="49"/>
      <c r="K39" s="49"/>
      <c r="L39" s="49"/>
    </row>
    <row r="40" spans="2:12" x14ac:dyDescent="0.15">
      <c r="B40" s="49"/>
      <c r="C40" s="192" t="s">
        <v>111</v>
      </c>
      <c r="D40" s="153"/>
      <c r="E40" s="361"/>
      <c r="F40" s="49"/>
      <c r="G40" s="49"/>
      <c r="H40" s="49"/>
      <c r="I40" s="49"/>
      <c r="J40" s="49"/>
      <c r="K40" s="49"/>
      <c r="L40" s="49"/>
    </row>
    <row r="41" spans="2:12" x14ac:dyDescent="0.15">
      <c r="B41" s="49"/>
      <c r="C41" s="192" t="s">
        <v>175</v>
      </c>
      <c r="D41" s="153"/>
      <c r="E41" s="361"/>
      <c r="F41" s="49"/>
      <c r="G41" s="49"/>
      <c r="H41" s="49"/>
      <c r="I41" s="49"/>
      <c r="J41" s="49"/>
      <c r="K41" s="49"/>
      <c r="L41" s="49"/>
    </row>
    <row r="42" spans="2:12" x14ac:dyDescent="0.15">
      <c r="B42" s="49"/>
      <c r="C42" s="192" t="s">
        <v>176</v>
      </c>
      <c r="D42" s="153"/>
      <c r="E42" s="361"/>
      <c r="F42" s="49"/>
      <c r="G42" s="49"/>
      <c r="H42" s="49"/>
      <c r="I42" s="49"/>
      <c r="J42" s="49"/>
      <c r="K42" s="49"/>
      <c r="L42" s="49"/>
    </row>
    <row r="43" spans="2:12" x14ac:dyDescent="0.15">
      <c r="B43" s="49"/>
      <c r="C43" s="193"/>
      <c r="D43" s="194"/>
      <c r="E43" s="362"/>
      <c r="F43" s="49"/>
      <c r="G43" s="49"/>
      <c r="H43" s="49"/>
      <c r="I43" s="49"/>
      <c r="J43" s="49"/>
      <c r="K43" s="49"/>
      <c r="L43" s="49"/>
    </row>
    <row r="44" spans="2:12" x14ac:dyDescent="0.15">
      <c r="B44" s="49"/>
      <c r="C44" s="49"/>
      <c r="D44" s="49"/>
      <c r="E44" s="49"/>
      <c r="F44" s="49"/>
      <c r="G44" s="49"/>
      <c r="H44" s="49"/>
      <c r="I44" s="49"/>
      <c r="J44" s="49"/>
      <c r="K44" s="49"/>
      <c r="L44" s="49"/>
    </row>
    <row r="45" spans="2:12" x14ac:dyDescent="0.15">
      <c r="B45" s="49"/>
      <c r="C45" s="327" t="s">
        <v>177</v>
      </c>
      <c r="D45" s="328"/>
      <c r="E45" s="144" t="s">
        <v>14</v>
      </c>
      <c r="F45" s="49"/>
      <c r="G45" s="49"/>
      <c r="H45" s="49"/>
      <c r="I45" s="49"/>
      <c r="J45" s="49"/>
      <c r="K45" s="49"/>
      <c r="L45" s="49"/>
    </row>
    <row r="46" spans="2:12" x14ac:dyDescent="0.15">
      <c r="B46" s="49"/>
      <c r="C46" s="327" t="s">
        <v>178</v>
      </c>
      <c r="D46" s="328"/>
      <c r="E46" s="196"/>
      <c r="F46" s="244" t="str">
        <f>E37</f>
        <v>&lt;1&gt;</v>
      </c>
      <c r="G46" s="227"/>
      <c r="H46" s="49"/>
      <c r="I46" s="49"/>
      <c r="J46" s="49"/>
      <c r="K46" s="49"/>
      <c r="L46" s="49"/>
    </row>
    <row r="47" spans="2:12" ht="31.15" customHeight="1" x14ac:dyDescent="0.15">
      <c r="B47" s="49"/>
      <c r="C47" s="329" t="s">
        <v>179</v>
      </c>
      <c r="D47" s="330"/>
      <c r="E47" s="197"/>
      <c r="F47" s="178"/>
      <c r="G47" s="178"/>
      <c r="H47" s="49"/>
      <c r="I47" s="49"/>
      <c r="J47" s="49"/>
      <c r="K47" s="49"/>
      <c r="L47" s="49"/>
    </row>
    <row r="48" spans="2:12" x14ac:dyDescent="0.15">
      <c r="B48" s="49"/>
      <c r="C48" s="365" t="str">
        <f>IF(E47&lt;&gt;"","Adjusted threshold applied","Threshold applied")</f>
        <v>Threshold applied</v>
      </c>
      <c r="D48" s="366"/>
      <c r="E48" s="198">
        <f>$E$46+$E$47</f>
        <v>0</v>
      </c>
      <c r="F48" s="178"/>
      <c r="G48" s="228"/>
      <c r="H48" s="49"/>
      <c r="I48" s="49"/>
      <c r="J48" s="49"/>
      <c r="K48" s="49"/>
      <c r="L48" s="49"/>
    </row>
    <row r="49" spans="2:12" x14ac:dyDescent="0.15">
      <c r="B49" s="49"/>
      <c r="C49" s="49"/>
      <c r="D49" s="49"/>
      <c r="E49" s="49"/>
      <c r="F49" s="49"/>
      <c r="G49" s="49"/>
      <c r="H49" s="49"/>
      <c r="I49" s="49"/>
      <c r="J49" s="49"/>
      <c r="K49" s="49"/>
      <c r="L49" s="49"/>
    </row>
    <row r="50" spans="2:12" x14ac:dyDescent="0.15">
      <c r="B50" s="49"/>
      <c r="C50" s="49"/>
      <c r="D50" s="49"/>
      <c r="E50" s="49"/>
      <c r="F50" s="49"/>
      <c r="G50" s="49"/>
      <c r="H50" s="49"/>
      <c r="I50" s="49"/>
      <c r="J50" s="49"/>
      <c r="K50" s="49"/>
      <c r="L50" s="49"/>
    </row>
    <row r="51" spans="2:12" x14ac:dyDescent="0.15">
      <c r="B51" s="179" t="s">
        <v>180</v>
      </c>
      <c r="C51" s="337" t="s">
        <v>181</v>
      </c>
      <c r="D51" s="346"/>
      <c r="E51" s="346"/>
      <c r="F51" s="346"/>
      <c r="G51" s="338"/>
      <c r="H51" s="49"/>
      <c r="I51" s="49"/>
      <c r="J51" s="49"/>
      <c r="K51" s="49"/>
      <c r="L51" s="49"/>
    </row>
    <row r="52" spans="2:12" x14ac:dyDescent="0.15">
      <c r="B52" s="49"/>
      <c r="C52" s="49"/>
      <c r="D52" s="49"/>
      <c r="E52" s="49"/>
      <c r="F52" s="49"/>
      <c r="G52" s="49"/>
      <c r="H52" s="49"/>
      <c r="I52" s="49"/>
      <c r="J52" s="49"/>
      <c r="K52" s="49"/>
      <c r="L52" s="49"/>
    </row>
    <row r="53" spans="2:12" x14ac:dyDescent="0.15">
      <c r="B53" s="49"/>
      <c r="C53" s="331" t="s">
        <v>115</v>
      </c>
      <c r="D53" s="332"/>
      <c r="E53" s="199" t="s">
        <v>118</v>
      </c>
      <c r="F53" s="176"/>
      <c r="G53" s="49"/>
      <c r="H53" s="49"/>
      <c r="I53" s="49"/>
      <c r="J53" s="49"/>
      <c r="K53" s="49"/>
      <c r="L53" s="49"/>
    </row>
    <row r="54" spans="2:12" x14ac:dyDescent="0.15">
      <c r="B54" s="49"/>
      <c r="C54" s="327" t="s">
        <v>182</v>
      </c>
      <c r="D54" s="328"/>
      <c r="E54" s="200">
        <f>$E$28</f>
        <v>0</v>
      </c>
      <c r="F54" s="201" t="s">
        <v>183</v>
      </c>
      <c r="G54" s="49"/>
      <c r="H54" s="49"/>
      <c r="I54" s="49"/>
      <c r="J54" s="49"/>
      <c r="K54" s="49"/>
      <c r="L54" s="49"/>
    </row>
    <row r="55" spans="2:12" x14ac:dyDescent="0.15">
      <c r="B55" s="49"/>
      <c r="C55" s="327" t="s">
        <v>147</v>
      </c>
      <c r="D55" s="328"/>
      <c r="E55" s="202">
        <f>$E$14</f>
        <v>0</v>
      </c>
      <c r="F55" s="201" t="s">
        <v>184</v>
      </c>
      <c r="G55" s="49"/>
      <c r="H55" s="49"/>
      <c r="I55" s="49"/>
      <c r="J55" s="49"/>
      <c r="K55" s="49"/>
      <c r="L55" s="49"/>
    </row>
    <row r="56" spans="2:12" x14ac:dyDescent="0.15">
      <c r="B56" s="49"/>
      <c r="C56" s="327" t="s">
        <v>185</v>
      </c>
      <c r="D56" s="328"/>
      <c r="E56" s="200">
        <f>$E$55-$E$54</f>
        <v>0</v>
      </c>
      <c r="F56" s="201" t="s">
        <v>186</v>
      </c>
      <c r="G56" s="49"/>
      <c r="H56" s="49"/>
      <c r="I56" s="49"/>
      <c r="J56" s="49"/>
      <c r="K56" s="49"/>
      <c r="L56" s="49"/>
    </row>
    <row r="57" spans="2:12" x14ac:dyDescent="0.15">
      <c r="B57" s="49"/>
      <c r="C57" s="329" t="s">
        <v>187</v>
      </c>
      <c r="D57" s="330"/>
      <c r="E57" s="203" t="str">
        <f>IF(ABS($E$56)&gt;$E$48,"No, Investigate","Yes")</f>
        <v>Yes</v>
      </c>
      <c r="F57" s="176"/>
      <c r="G57" s="49"/>
      <c r="H57" s="49"/>
      <c r="I57" s="49"/>
      <c r="J57" s="49"/>
      <c r="K57" s="49"/>
      <c r="L57" s="49"/>
    </row>
    <row r="58" spans="2:12" x14ac:dyDescent="0.15">
      <c r="B58" s="49"/>
      <c r="C58" s="49"/>
      <c r="D58" s="49"/>
      <c r="E58" s="49"/>
      <c r="F58" s="49"/>
      <c r="G58" s="49"/>
      <c r="H58" s="49"/>
      <c r="I58" s="49"/>
      <c r="J58" s="49"/>
      <c r="K58" s="49"/>
      <c r="L58" s="49"/>
    </row>
    <row r="59" spans="2:12" x14ac:dyDescent="0.15">
      <c r="B59" s="179" t="s">
        <v>188</v>
      </c>
      <c r="C59" s="337" t="s">
        <v>189</v>
      </c>
      <c r="D59" s="346"/>
      <c r="E59" s="346"/>
      <c r="F59" s="346"/>
      <c r="G59" s="338"/>
      <c r="H59" s="49"/>
      <c r="I59" s="49"/>
      <c r="J59" s="49"/>
      <c r="K59" s="49"/>
      <c r="L59" s="49"/>
    </row>
    <row r="60" spans="2:12" x14ac:dyDescent="0.15">
      <c r="B60" s="49"/>
      <c r="C60" s="49"/>
      <c r="D60" s="49"/>
      <c r="E60" s="49"/>
      <c r="F60" s="49"/>
      <c r="G60" s="49"/>
      <c r="H60" s="49"/>
      <c r="I60" s="49"/>
      <c r="J60" s="49"/>
      <c r="K60" s="49"/>
      <c r="L60" s="49"/>
    </row>
    <row r="61" spans="2:12" x14ac:dyDescent="0.15">
      <c r="B61" s="49"/>
      <c r="C61" s="331" t="s">
        <v>202</v>
      </c>
      <c r="D61" s="332"/>
      <c r="E61" s="199" t="s">
        <v>118</v>
      </c>
      <c r="F61" s="207" t="s">
        <v>191</v>
      </c>
      <c r="G61" s="180" t="s">
        <v>192</v>
      </c>
      <c r="H61" s="49"/>
      <c r="I61" s="49"/>
      <c r="J61" s="49"/>
      <c r="K61" s="49"/>
      <c r="L61" s="49"/>
    </row>
    <row r="62" spans="2:12" x14ac:dyDescent="0.15">
      <c r="B62" s="49"/>
      <c r="C62" s="342"/>
      <c r="D62" s="343"/>
      <c r="E62" s="229"/>
      <c r="F62" s="231"/>
      <c r="G62" s="232"/>
      <c r="H62" s="49"/>
      <c r="I62" s="49"/>
      <c r="J62" s="49"/>
      <c r="K62" s="49"/>
      <c r="L62" s="49"/>
    </row>
    <row r="63" spans="2:12" x14ac:dyDescent="0.15">
      <c r="B63" s="49"/>
      <c r="C63" s="344"/>
      <c r="D63" s="345"/>
      <c r="E63" s="208"/>
      <c r="F63" s="209"/>
      <c r="G63" s="210"/>
      <c r="H63" s="49"/>
      <c r="I63" s="49"/>
      <c r="J63" s="49"/>
      <c r="K63" s="49"/>
      <c r="L63" s="49"/>
    </row>
    <row r="64" spans="2:12" x14ac:dyDescent="0.15">
      <c r="B64" s="49"/>
      <c r="C64" s="344"/>
      <c r="D64" s="345"/>
      <c r="E64" s="208"/>
      <c r="F64" s="209"/>
      <c r="G64" s="210"/>
      <c r="H64" s="49"/>
      <c r="I64" s="49"/>
      <c r="J64" s="49"/>
      <c r="K64" s="49"/>
      <c r="L64" s="49"/>
    </row>
    <row r="65" spans="2:12" x14ac:dyDescent="0.15">
      <c r="B65" s="49"/>
      <c r="C65" s="344"/>
      <c r="D65" s="345"/>
      <c r="E65" s="208"/>
      <c r="F65" s="209"/>
      <c r="G65" s="210"/>
      <c r="H65" s="49"/>
      <c r="I65" s="49"/>
      <c r="J65" s="49"/>
      <c r="K65" s="49"/>
      <c r="L65" s="49"/>
    </row>
    <row r="66" spans="2:12" x14ac:dyDescent="0.15">
      <c r="B66" s="49"/>
      <c r="C66" s="344"/>
      <c r="D66" s="345"/>
      <c r="E66" s="208"/>
      <c r="F66" s="209"/>
      <c r="G66" s="210"/>
      <c r="H66" s="49"/>
      <c r="I66" s="49"/>
      <c r="J66" s="49"/>
      <c r="K66" s="49"/>
      <c r="L66" s="49"/>
    </row>
    <row r="67" spans="2:12" x14ac:dyDescent="0.15">
      <c r="B67" s="49"/>
      <c r="C67" s="325" t="s">
        <v>193</v>
      </c>
      <c r="D67" s="326"/>
      <c r="E67" s="211">
        <f>SUM($E$62:$E$66)</f>
        <v>0</v>
      </c>
      <c r="F67" s="176"/>
      <c r="G67" s="176"/>
      <c r="H67" s="49"/>
      <c r="I67" s="49"/>
      <c r="J67" s="49"/>
      <c r="K67" s="49"/>
      <c r="L67" s="49"/>
    </row>
    <row r="68" spans="2:12" x14ac:dyDescent="0.15">
      <c r="B68" s="49"/>
      <c r="C68" s="325" t="s">
        <v>194</v>
      </c>
      <c r="D68" s="326"/>
      <c r="E68" s="212">
        <f>$E$56</f>
        <v>0</v>
      </c>
      <c r="F68" s="176"/>
      <c r="G68" s="213" t="str">
        <f>IF(ISERROR(MATCH("Yes",G62:G66,0)),"","Enter all identified misstatements in the Findings module/Evaluation of Misstatements form")</f>
        <v/>
      </c>
      <c r="H68" s="49"/>
      <c r="I68" s="49"/>
      <c r="J68" s="49"/>
      <c r="K68" s="49"/>
      <c r="L68" s="49"/>
    </row>
    <row r="69" spans="2:12" x14ac:dyDescent="0.15">
      <c r="B69" s="49"/>
      <c r="C69" s="325" t="s">
        <v>195</v>
      </c>
      <c r="D69" s="326"/>
      <c r="E69" s="211">
        <f>ABS($E$67-$E$68)</f>
        <v>0</v>
      </c>
      <c r="F69" s="176"/>
      <c r="G69" s="176"/>
      <c r="H69" s="49"/>
      <c r="I69" s="49"/>
      <c r="J69" s="49"/>
      <c r="K69" s="49"/>
      <c r="L69" s="49"/>
    </row>
    <row r="70" spans="2:12" x14ac:dyDescent="0.15">
      <c r="B70" s="49"/>
      <c r="C70" s="49"/>
      <c r="D70" s="49"/>
      <c r="E70" s="49"/>
      <c r="F70" s="49"/>
      <c r="G70" s="49"/>
      <c r="H70" s="49"/>
      <c r="I70" s="49"/>
      <c r="J70" s="49"/>
      <c r="K70" s="49"/>
      <c r="L70" s="49"/>
    </row>
    <row r="71" spans="2:12" x14ac:dyDescent="0.15">
      <c r="B71" s="179" t="s">
        <v>196</v>
      </c>
      <c r="C71" s="337" t="s">
        <v>197</v>
      </c>
      <c r="D71" s="338"/>
      <c r="E71" s="144" t="s">
        <v>14</v>
      </c>
      <c r="F71" s="339"/>
      <c r="G71" s="339"/>
      <c r="H71" s="49"/>
      <c r="I71" s="49"/>
      <c r="J71" s="49"/>
      <c r="K71" s="49"/>
      <c r="L71" s="49"/>
    </row>
    <row r="72" spans="2:12" x14ac:dyDescent="0.15">
      <c r="B72" s="49"/>
      <c r="C72" s="49"/>
      <c r="D72" s="49"/>
      <c r="E72" s="49"/>
      <c r="F72" s="49"/>
      <c r="G72" s="49"/>
      <c r="H72" s="49"/>
      <c r="I72" s="49"/>
      <c r="J72" s="49"/>
      <c r="K72" s="49"/>
      <c r="L72" s="49"/>
    </row>
    <row r="73" spans="2:12" x14ac:dyDescent="0.15">
      <c r="B73" s="49"/>
      <c r="C73" s="331" t="s">
        <v>115</v>
      </c>
      <c r="D73" s="332"/>
      <c r="E73" s="199" t="s">
        <v>118</v>
      </c>
      <c r="F73" s="214" t="s">
        <v>198</v>
      </c>
      <c r="G73" s="176"/>
      <c r="H73" s="49"/>
      <c r="I73" s="49"/>
      <c r="J73" s="49"/>
      <c r="K73" s="49"/>
      <c r="L73" s="49"/>
    </row>
    <row r="74" spans="2:12" x14ac:dyDescent="0.15">
      <c r="B74" s="49"/>
      <c r="C74" s="327" t="s">
        <v>199</v>
      </c>
      <c r="D74" s="328"/>
      <c r="E74" s="215" t="str">
        <f>IF($E$71="Yes",$E$28,"")</f>
        <v/>
      </c>
      <c r="F74" s="216" t="s">
        <v>183</v>
      </c>
      <c r="G74" s="176"/>
      <c r="H74" s="49"/>
      <c r="I74" s="49"/>
      <c r="J74" s="49"/>
      <c r="K74" s="49"/>
      <c r="L74" s="49"/>
    </row>
    <row r="75" spans="2:12" x14ac:dyDescent="0.15">
      <c r="B75" s="49"/>
      <c r="C75" s="327" t="s">
        <v>200</v>
      </c>
      <c r="D75" s="328"/>
      <c r="E75" s="217"/>
      <c r="F75" s="216"/>
      <c r="G75" s="176"/>
      <c r="H75" s="49"/>
      <c r="I75" s="49"/>
      <c r="J75" s="49"/>
      <c r="K75" s="49"/>
      <c r="L75" s="49"/>
    </row>
    <row r="76" spans="2:12" x14ac:dyDescent="0.15">
      <c r="B76" s="49"/>
      <c r="C76" s="340"/>
      <c r="D76" s="341"/>
      <c r="E76" s="220"/>
      <c r="F76" s="221"/>
      <c r="G76" s="176"/>
      <c r="H76" s="49"/>
      <c r="I76" s="49"/>
      <c r="J76" s="49"/>
      <c r="K76" s="49"/>
      <c r="L76" s="49"/>
    </row>
    <row r="77" spans="2:12" x14ac:dyDescent="0.15">
      <c r="B77" s="49"/>
      <c r="C77" s="340"/>
      <c r="D77" s="341"/>
      <c r="E77" s="220"/>
      <c r="F77" s="221"/>
      <c r="G77" s="176"/>
      <c r="H77" s="49"/>
      <c r="I77" s="49"/>
      <c r="J77" s="49"/>
      <c r="K77" s="49"/>
      <c r="L77" s="49"/>
    </row>
    <row r="78" spans="2:12" x14ac:dyDescent="0.15">
      <c r="B78" s="49"/>
      <c r="C78" s="340"/>
      <c r="D78" s="341"/>
      <c r="E78" s="220"/>
      <c r="F78" s="221"/>
      <c r="G78" s="176"/>
      <c r="H78" s="49"/>
      <c r="I78" s="49"/>
      <c r="J78" s="49"/>
      <c r="K78" s="49"/>
      <c r="L78" s="49"/>
    </row>
    <row r="79" spans="2:12" x14ac:dyDescent="0.15">
      <c r="B79" s="49"/>
      <c r="C79" s="340"/>
      <c r="D79" s="341"/>
      <c r="E79" s="220"/>
      <c r="F79" s="221"/>
      <c r="G79" s="176"/>
      <c r="H79" s="49"/>
      <c r="I79" s="49"/>
      <c r="J79" s="49"/>
      <c r="K79" s="49"/>
      <c r="L79" s="49"/>
    </row>
    <row r="80" spans="2:12" x14ac:dyDescent="0.15">
      <c r="B80" s="49"/>
      <c r="C80" s="327" t="s">
        <v>201</v>
      </c>
      <c r="D80" s="328"/>
      <c r="E80" s="200">
        <f>SUM($E$74:$E$79)</f>
        <v>0</v>
      </c>
      <c r="F80" s="216"/>
      <c r="G80" s="176"/>
      <c r="H80" s="49"/>
      <c r="I80" s="49"/>
      <c r="J80" s="49"/>
      <c r="K80" s="49"/>
      <c r="L80" s="49"/>
    </row>
    <row r="81" spans="2:12" x14ac:dyDescent="0.15">
      <c r="B81" s="49"/>
      <c r="C81" s="327" t="s">
        <v>147</v>
      </c>
      <c r="D81" s="328"/>
      <c r="E81" s="202">
        <f>$E$14</f>
        <v>0</v>
      </c>
      <c r="F81" s="216" t="s">
        <v>184</v>
      </c>
      <c r="G81" s="176"/>
      <c r="H81" s="49"/>
      <c r="I81" s="49"/>
      <c r="J81" s="49"/>
      <c r="K81" s="49"/>
      <c r="L81" s="49"/>
    </row>
    <row r="82" spans="2:12" x14ac:dyDescent="0.15">
      <c r="B82" s="49"/>
      <c r="C82" s="327" t="s">
        <v>185</v>
      </c>
      <c r="D82" s="328"/>
      <c r="E82" s="200" t="str">
        <f>IF($E$71="Yes",$E$81-$E$80,"")</f>
        <v/>
      </c>
      <c r="F82" s="176"/>
      <c r="G82" s="176"/>
      <c r="H82" s="49"/>
      <c r="I82" s="49"/>
      <c r="J82" s="49"/>
      <c r="K82" s="49"/>
      <c r="L82" s="49"/>
    </row>
    <row r="83" spans="2:12" x14ac:dyDescent="0.15">
      <c r="B83" s="49"/>
      <c r="C83" s="329" t="s">
        <v>187</v>
      </c>
      <c r="D83" s="330"/>
      <c r="E83" s="203" t="str">
        <f>IF($E$71="Yes",IF(ABS($E$82)&gt;$E$48,"No, Investigate","Yes"),"")</f>
        <v/>
      </c>
      <c r="F83" s="176"/>
      <c r="G83" s="176"/>
      <c r="H83" s="49"/>
      <c r="I83" s="49"/>
      <c r="J83" s="49"/>
      <c r="K83" s="49"/>
      <c r="L83" s="49"/>
    </row>
    <row r="84" spans="2:12" x14ac:dyDescent="0.15">
      <c r="B84" s="49"/>
      <c r="C84" s="176"/>
      <c r="D84" s="176"/>
      <c r="E84" s="176"/>
      <c r="F84" s="176"/>
      <c r="G84" s="176"/>
      <c r="H84" s="49"/>
      <c r="I84" s="49"/>
      <c r="J84" s="49"/>
      <c r="K84" s="49"/>
      <c r="L84" s="49"/>
    </row>
    <row r="85" spans="2:12" x14ac:dyDescent="0.15">
      <c r="B85" s="49"/>
      <c r="C85" s="331" t="s">
        <v>202</v>
      </c>
      <c r="D85" s="332"/>
      <c r="E85" s="199" t="s">
        <v>118</v>
      </c>
      <c r="F85" s="207" t="s">
        <v>191</v>
      </c>
      <c r="G85" s="180" t="s">
        <v>192</v>
      </c>
      <c r="H85" s="49"/>
      <c r="I85" s="49"/>
      <c r="J85" s="49"/>
      <c r="K85" s="49"/>
      <c r="L85" s="49"/>
    </row>
    <row r="86" spans="2:12" x14ac:dyDescent="0.15">
      <c r="B86" s="49"/>
      <c r="C86" s="233"/>
      <c r="D86" s="234"/>
      <c r="E86" s="183"/>
      <c r="F86" s="182"/>
      <c r="G86" s="223"/>
      <c r="H86" s="49"/>
      <c r="I86" s="49"/>
      <c r="J86" s="49"/>
      <c r="K86" s="49"/>
      <c r="L86" s="49"/>
    </row>
    <row r="87" spans="2:12" x14ac:dyDescent="0.15">
      <c r="B87" s="49"/>
      <c r="C87" s="335"/>
      <c r="D87" s="336"/>
      <c r="E87" s="183"/>
      <c r="F87" s="182"/>
      <c r="G87" s="223"/>
      <c r="H87" s="49"/>
      <c r="I87" s="49"/>
      <c r="J87" s="49"/>
      <c r="K87" s="49"/>
      <c r="L87" s="49"/>
    </row>
    <row r="88" spans="2:12" x14ac:dyDescent="0.15">
      <c r="B88" s="49"/>
      <c r="C88" s="325" t="s">
        <v>193</v>
      </c>
      <c r="D88" s="326"/>
      <c r="E88" s="211">
        <f>SUM($E$86:$E$87)</f>
        <v>0</v>
      </c>
      <c r="F88" s="176"/>
      <c r="G88" s="176"/>
      <c r="H88" s="49"/>
      <c r="I88" s="49"/>
      <c r="J88" s="49"/>
      <c r="K88" s="49"/>
      <c r="L88" s="49"/>
    </row>
    <row r="89" spans="2:12" x14ac:dyDescent="0.15">
      <c r="B89" s="49"/>
      <c r="C89" s="325" t="s">
        <v>194</v>
      </c>
      <c r="D89" s="326"/>
      <c r="E89" s="212" t="str">
        <f>$E$82</f>
        <v/>
      </c>
      <c r="F89" s="176"/>
      <c r="G89" s="213" t="str">
        <f>IF(ISERROR(MATCH("Yes",G86:G87,0)),"","Enter all identified misstatements in the Findings module/Evaluation of Misstatements form")</f>
        <v/>
      </c>
      <c r="H89" s="49"/>
      <c r="I89" s="49"/>
      <c r="J89" s="49"/>
      <c r="K89" s="49"/>
      <c r="L89" s="49"/>
    </row>
    <row r="90" spans="2:12" x14ac:dyDescent="0.15">
      <c r="B90" s="49"/>
      <c r="C90" s="325" t="s">
        <v>195</v>
      </c>
      <c r="D90" s="326"/>
      <c r="E90" s="211" t="str">
        <f>IF($E$71="Yes",ABS($E$88-$E$89),"")</f>
        <v/>
      </c>
      <c r="F90" s="176"/>
      <c r="G90" s="176"/>
      <c r="H90" s="49"/>
      <c r="I90" s="49"/>
      <c r="J90" s="49"/>
      <c r="K90" s="49"/>
      <c r="L90" s="49"/>
    </row>
    <row r="91" spans="2:12" x14ac:dyDescent="0.15">
      <c r="B91" s="176"/>
      <c r="C91" s="176"/>
      <c r="D91" s="176"/>
      <c r="E91" s="176"/>
      <c r="F91" s="176"/>
      <c r="G91" s="176"/>
      <c r="H91" s="49"/>
      <c r="I91" s="49"/>
      <c r="J91" s="49"/>
      <c r="K91" s="49"/>
      <c r="L91" s="49"/>
    </row>
    <row r="92" spans="2:12" x14ac:dyDescent="0.15">
      <c r="B92" s="49"/>
      <c r="C92" s="224"/>
      <c r="D92" s="224"/>
      <c r="E92" s="176"/>
      <c r="F92" s="176"/>
      <c r="G92" s="176"/>
      <c r="H92" s="49"/>
      <c r="I92" s="49"/>
      <c r="J92" s="49"/>
      <c r="K92" s="49"/>
      <c r="L92" s="49"/>
    </row>
    <row r="93" spans="2:12" x14ac:dyDescent="0.15">
      <c r="B93" s="49"/>
      <c r="C93" s="224"/>
      <c r="D93" s="224"/>
      <c r="E93" s="176"/>
      <c r="F93" s="176"/>
      <c r="G93" s="176"/>
      <c r="H93" s="49"/>
      <c r="I93" s="49"/>
      <c r="J93" s="49"/>
      <c r="K93" s="49"/>
      <c r="L93" s="49"/>
    </row>
  </sheetData>
  <mergeCells count="57">
    <mergeCell ref="C19:D19"/>
    <mergeCell ref="D9:G9"/>
    <mergeCell ref="C13:D13"/>
    <mergeCell ref="C14:D14"/>
    <mergeCell ref="C16:G16"/>
    <mergeCell ref="C18:D18"/>
    <mergeCell ref="C36:E36"/>
    <mergeCell ref="C20:D20"/>
    <mergeCell ref="C21:D21"/>
    <mergeCell ref="C22:D22"/>
    <mergeCell ref="C24:D24"/>
    <mergeCell ref="C25:D25"/>
    <mergeCell ref="C26:D26"/>
    <mergeCell ref="C27:D27"/>
    <mergeCell ref="C28:D28"/>
    <mergeCell ref="C30:G30"/>
    <mergeCell ref="C32:G32"/>
    <mergeCell ref="C34:G34"/>
    <mergeCell ref="C59:G59"/>
    <mergeCell ref="E37:E43"/>
    <mergeCell ref="C45:D45"/>
    <mergeCell ref="C46:D46"/>
    <mergeCell ref="C47:D47"/>
    <mergeCell ref="C48:D48"/>
    <mergeCell ref="C51:G51"/>
    <mergeCell ref="C53:D53"/>
    <mergeCell ref="C54:D54"/>
    <mergeCell ref="C55:D55"/>
    <mergeCell ref="C56:D56"/>
    <mergeCell ref="C57:D57"/>
    <mergeCell ref="F71:G71"/>
    <mergeCell ref="C73:D73"/>
    <mergeCell ref="C61:D61"/>
    <mergeCell ref="C62:D62"/>
    <mergeCell ref="C63:D63"/>
    <mergeCell ref="C64:D64"/>
    <mergeCell ref="C65:D65"/>
    <mergeCell ref="C66:D66"/>
    <mergeCell ref="C79:D79"/>
    <mergeCell ref="C67:D67"/>
    <mergeCell ref="C68:D68"/>
    <mergeCell ref="C69:D69"/>
    <mergeCell ref="C71:D71"/>
    <mergeCell ref="C74:D74"/>
    <mergeCell ref="C75:D75"/>
    <mergeCell ref="C76:D76"/>
    <mergeCell ref="C77:D77"/>
    <mergeCell ref="C78:D78"/>
    <mergeCell ref="C88:D88"/>
    <mergeCell ref="C89:D89"/>
    <mergeCell ref="C90:D90"/>
    <mergeCell ref="C80:D80"/>
    <mergeCell ref="C81:D81"/>
    <mergeCell ref="C82:D82"/>
    <mergeCell ref="C83:D83"/>
    <mergeCell ref="C85:D85"/>
    <mergeCell ref="C87:D87"/>
  </mergeCells>
  <conditionalFormatting sqref="E48">
    <cfRule type="cellIs" dxfId="26" priority="38" operator="equal">
      <formula>"Invalid selection"</formula>
    </cfRule>
  </conditionalFormatting>
  <conditionalFormatting sqref="E57">
    <cfRule type="cellIs" dxfId="25" priority="35" operator="equal">
      <formula>"Invalid selection"</formula>
    </cfRule>
    <cfRule type="containsText" dxfId="24" priority="36" operator="containsText" text="Yes">
      <formula>NOT(ISERROR(SEARCH("Yes",E57)))</formula>
    </cfRule>
    <cfRule type="containsText" dxfId="23" priority="37" operator="containsText" text="No">
      <formula>NOT(ISERROR(SEARCH("No",E57)))</formula>
    </cfRule>
  </conditionalFormatting>
  <conditionalFormatting sqref="E69">
    <cfRule type="cellIs" dxfId="22" priority="34" operator="notEqual">
      <formula>0</formula>
    </cfRule>
  </conditionalFormatting>
  <conditionalFormatting sqref="E83">
    <cfRule type="containsText" dxfId="21" priority="32" operator="containsText" text="Yes">
      <formula>NOT(ISERROR(SEARCH("Yes",E83)))</formula>
    </cfRule>
    <cfRule type="containsText" dxfId="20" priority="33" operator="containsText" text="No">
      <formula>NOT(ISERROR(SEARCH("No",E83)))</formula>
    </cfRule>
  </conditionalFormatting>
  <conditionalFormatting sqref="E90">
    <cfRule type="expression" dxfId="19" priority="45">
      <formula>AND(#REF!&lt;&gt;"",#REF!&lt;&gt;0)</formula>
    </cfRule>
  </conditionalFormatting>
  <conditionalFormatting sqref="E46">
    <cfRule type="cellIs" dxfId="18" priority="31" operator="equal">
      <formula>"Invalid selection"</formula>
    </cfRule>
  </conditionalFormatting>
  <conditionalFormatting sqref="G62:G66">
    <cfRule type="cellIs" dxfId="17" priority="26" operator="equal">
      <formula>"No"</formula>
    </cfRule>
    <cfRule type="cellIs" dxfId="16" priority="27" operator="equal">
      <formula>"Yes"</formula>
    </cfRule>
    <cfRule type="cellIs" dxfId="15" priority="28" operator="equal">
      <formula>""</formula>
    </cfRule>
  </conditionalFormatting>
  <conditionalFormatting sqref="G86:G87">
    <cfRule type="cellIs" dxfId="14" priority="23" operator="equal">
      <formula>"No"</formula>
    </cfRule>
    <cfRule type="cellIs" dxfId="13" priority="24" operator="equal">
      <formula>"Yes"</formula>
    </cfRule>
    <cfRule type="cellIs" dxfId="12" priority="25" operator="equal">
      <formula>""</formula>
    </cfRule>
  </conditionalFormatting>
  <conditionalFormatting sqref="E45">
    <cfRule type="containsText" dxfId="11" priority="11" operator="containsText" text="Improperly">
      <formula>NOT(ISERROR(SEARCH("Improperly",E45)))</formula>
    </cfRule>
    <cfRule type="containsText" dxfId="10" priority="12" operator="containsText" text="Properly">
      <formula>NOT(ISERROR(SEARCH("Properly",E45)))</formula>
    </cfRule>
  </conditionalFormatting>
  <conditionalFormatting sqref="E71">
    <cfRule type="containsText" dxfId="9" priority="9" operator="containsText" text="Improperly">
      <formula>NOT(ISERROR(SEARCH("Improperly",E71)))</formula>
    </cfRule>
    <cfRule type="containsText" dxfId="8" priority="10" operator="containsText" text="Properly">
      <formula>NOT(ISERROR(SEARCH("Properly",E71)))</formula>
    </cfRule>
  </conditionalFormatting>
  <conditionalFormatting sqref="G3">
    <cfRule type="containsText" dxfId="7" priority="7" operator="containsText" text="No ">
      <formula>NOT(ISERROR(SEARCH("No ",G3)))</formula>
    </cfRule>
    <cfRule type="containsText" dxfId="6" priority="8" operator="containsText" text="Differences">
      <formula>NOT(ISERROR(SEARCH("Differences",G3)))</formula>
    </cfRule>
  </conditionalFormatting>
  <conditionalFormatting sqref="G5">
    <cfRule type="containsText" dxfId="5" priority="5" operator="containsText" text="Yes">
      <formula>NOT(ISERROR(SEARCH("Yes",G5)))</formula>
    </cfRule>
    <cfRule type="containsText" dxfId="4" priority="6" operator="containsText" text="No">
      <formula>NOT(ISERROR(SEARCH("No",G5)))</formula>
    </cfRule>
  </conditionalFormatting>
  <conditionalFormatting sqref="G4">
    <cfRule type="containsText" dxfId="3" priority="1" operator="containsText" text="Other">
      <formula>NOT(ISERROR(SEARCH("Other",G4)))</formula>
    </cfRule>
    <cfRule type="containsText" dxfId="2" priority="2" operator="containsText" text="&gt; CTT">
      <formula>NOT(ISERROR(SEARCH("&gt; CTT",G4)))</formula>
    </cfRule>
    <cfRule type="containsText" dxfId="1" priority="3" operator="containsText" text="Fraud">
      <formula>NOT(ISERROR(SEARCH("Fraud",G4)))</formula>
    </cfRule>
    <cfRule type="containsText" dxfId="0" priority="4" operator="containsText" text="None">
      <formula>NOT(ISERROR(SEARCH("None",G4)))</formula>
    </cfRule>
  </conditionalFormatting>
  <dataValidations count="1">
    <dataValidation type="list" allowBlank="1" showInputMessage="1" showErrorMessage="1" sqref="G62:G66 G86:G87" xr:uid="{00000000-0002-0000-0500-000000000000}">
      <formula1>"Yes,No"</formula1>
    </dataValidation>
  </dataValidations>
  <hyperlinks>
    <hyperlink ref="C32:G32" location="'2E. SAP IPE'!A1" display="See IPE tab for documentation of the work performed to confirm the completeness and accuracy of IPE." xr:uid="{00000000-0004-0000-0500-000000000000}"/>
    <hyperlink ref="I2" location="'0. Summary Tab'!A1" display="Click here to return to Summary tab" xr:uid="{C82D631E-837F-435B-AC47-B0B3C983AE9F}"/>
  </hyperlinks>
  <pageMargins left="0.75" right="0.75" top="1" bottom="1" header="0.5" footer="0.5"/>
  <pageSetup scale="30" fitToWidth="0" orientation="landscape" r:id="rId1"/>
  <headerFooter alignWithMargins="0"/>
  <customProperties>
    <customPr name="EpmWorksheetKeyString_GUID" r:id="rId2"/>
  </customPropertie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500-000001000000}">
          <x14:formula1>
            <xm:f>'Parameters (Hide)'!$C$1:$C$3</xm:f>
          </x14:formula1>
          <xm:sqref>G5 E45 E71</xm:sqref>
        </x14:dataValidation>
        <x14:dataValidation type="list" allowBlank="1" showInputMessage="1" showErrorMessage="1" xr:uid="{00000000-0002-0000-0500-000002000000}">
          <x14:formula1>
            <xm:f>'Parameters (Hide)'!$G$1:$G$10</xm:f>
          </x14:formula1>
          <xm:sqref>G4</xm:sqref>
        </x14:dataValidation>
        <x14:dataValidation type="list" allowBlank="1" showInputMessage="1" showErrorMessage="1" xr:uid="{00000000-0002-0000-0500-000003000000}">
          <x14:formula1>
            <xm:f>'Parameters (Hide)'!$F$1:$F$3</xm:f>
          </x14:formula1>
          <xm:sqref>G3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B1:R14"/>
  <sheetViews>
    <sheetView showGridLines="0" zoomScaleNormal="100" workbookViewId="0"/>
  </sheetViews>
  <sheetFormatPr defaultColWidth="8.796875" defaultRowHeight="10.5" x14ac:dyDescent="0.15"/>
  <cols>
    <col min="1" max="1" width="2.19921875" style="33" bestFit="1" customWidth="1"/>
    <col min="2" max="2" width="6.69921875" style="33" bestFit="1" customWidth="1"/>
    <col min="3" max="3" width="14.19921875" style="33" customWidth="1"/>
    <col min="4" max="4" width="7.796875" style="33" customWidth="1"/>
    <col min="5" max="5" width="10.3984375" style="33" customWidth="1"/>
    <col min="6" max="7" width="8.796875" style="33" customWidth="1"/>
    <col min="8" max="8" width="7.5" style="33" customWidth="1"/>
    <col min="9" max="11" width="8.796875" style="33" customWidth="1"/>
    <col min="12" max="15" width="7.59765625" style="33" customWidth="1"/>
    <col min="16" max="16" width="14" style="33" customWidth="1"/>
    <col min="17" max="19" width="7.59765625" style="33" customWidth="1"/>
    <col min="20" max="20" width="8.796875" style="33"/>
    <col min="21" max="21" width="8.796875" style="33" customWidth="1"/>
    <col min="22" max="16384" width="8.796875" style="33"/>
  </cols>
  <sheetData>
    <row r="1" spans="2:18" x14ac:dyDescent="0.15">
      <c r="B1" s="51"/>
      <c r="C1" s="52"/>
      <c r="D1" s="52"/>
      <c r="E1" s="52"/>
      <c r="F1" s="52"/>
      <c r="G1" s="52"/>
      <c r="H1" s="52"/>
      <c r="I1" s="52"/>
      <c r="J1" s="52"/>
    </row>
    <row r="2" spans="2:18" x14ac:dyDescent="0.15">
      <c r="B2" s="49"/>
      <c r="C2" s="149"/>
      <c r="D2" s="129"/>
      <c r="E2" s="129"/>
      <c r="F2" s="151"/>
      <c r="G2" s="129"/>
      <c r="H2" s="173"/>
      <c r="I2" s="50"/>
      <c r="J2" s="49"/>
      <c r="K2" s="49"/>
      <c r="L2" s="49"/>
      <c r="M2" s="49"/>
      <c r="N2" s="140" t="s">
        <v>25</v>
      </c>
      <c r="O2" s="49"/>
      <c r="P2" s="49"/>
      <c r="Q2" s="49"/>
      <c r="R2" s="49"/>
    </row>
    <row r="3" spans="2:18" ht="20.65" customHeight="1" x14ac:dyDescent="0.15">
      <c r="B3" s="49"/>
      <c r="C3" s="174" t="s">
        <v>29</v>
      </c>
      <c r="D3" s="398" t="s">
        <v>213</v>
      </c>
      <c r="E3" s="399"/>
      <c r="F3" s="399"/>
      <c r="G3" s="399"/>
      <c r="H3" s="399"/>
      <c r="I3" s="399"/>
      <c r="J3" s="400"/>
      <c r="K3" s="49"/>
      <c r="L3" s="49"/>
      <c r="M3" s="49"/>
      <c r="N3" s="49"/>
      <c r="O3" s="49"/>
      <c r="P3" s="49"/>
      <c r="Q3" s="49"/>
      <c r="R3" s="49"/>
    </row>
    <row r="4" spans="2:18" x14ac:dyDescent="0.15">
      <c r="B4" s="49"/>
      <c r="C4" s="149"/>
      <c r="D4" s="129"/>
      <c r="E4" s="129"/>
      <c r="F4" s="151"/>
      <c r="G4" s="129"/>
      <c r="H4" s="173"/>
      <c r="I4" s="50"/>
      <c r="J4" s="49"/>
      <c r="K4" s="49"/>
      <c r="L4" s="49"/>
      <c r="M4" s="49"/>
      <c r="N4" s="49"/>
      <c r="O4" s="49"/>
      <c r="P4" s="49"/>
      <c r="Q4" s="49"/>
      <c r="R4" s="49"/>
    </row>
    <row r="6" spans="2:18" x14ac:dyDescent="0.15">
      <c r="B6" s="235"/>
      <c r="C6" s="149"/>
      <c r="D6" s="129"/>
      <c r="E6" s="129"/>
      <c r="F6" s="151"/>
      <c r="G6" s="129"/>
      <c r="H6" s="173"/>
      <c r="I6" s="50"/>
      <c r="J6" s="49"/>
      <c r="K6" s="49"/>
      <c r="L6" s="49"/>
      <c r="M6" s="49"/>
      <c r="N6" s="49"/>
      <c r="O6" s="49"/>
      <c r="P6" s="49"/>
      <c r="Q6" s="49"/>
      <c r="R6" s="49"/>
    </row>
    <row r="7" spans="2:18" ht="10.15" customHeight="1" x14ac:dyDescent="0.15">
      <c r="B7" s="49"/>
      <c r="C7" s="149"/>
      <c r="D7" s="129"/>
      <c r="E7" s="129"/>
      <c r="F7" s="151"/>
      <c r="G7" s="129"/>
      <c r="H7" s="173"/>
      <c r="I7" s="50"/>
      <c r="J7" s="49"/>
      <c r="K7" s="401" t="s">
        <v>33</v>
      </c>
      <c r="L7" s="402"/>
      <c r="M7" s="402"/>
      <c r="N7" s="402"/>
      <c r="O7" s="402"/>
      <c r="P7" s="402"/>
      <c r="Q7" s="49"/>
      <c r="R7" s="49"/>
    </row>
    <row r="8" spans="2:18" ht="34.15" customHeight="1" x14ac:dyDescent="0.15">
      <c r="B8" s="49"/>
      <c r="C8" s="403" t="s">
        <v>114</v>
      </c>
      <c r="D8" s="403"/>
      <c r="E8" s="404" t="s">
        <v>203</v>
      </c>
      <c r="F8" s="405"/>
      <c r="G8" s="405" t="s">
        <v>204</v>
      </c>
      <c r="H8" s="406"/>
      <c r="I8" s="403" t="s">
        <v>205</v>
      </c>
      <c r="J8" s="403"/>
      <c r="K8" s="403" t="s">
        <v>206</v>
      </c>
      <c r="L8" s="403"/>
      <c r="M8" s="407" t="s">
        <v>207</v>
      </c>
      <c r="N8" s="407" t="s">
        <v>208</v>
      </c>
      <c r="O8" s="408" t="s">
        <v>209</v>
      </c>
      <c r="P8" s="409"/>
      <c r="Q8" s="49"/>
      <c r="R8" s="49"/>
    </row>
    <row r="9" spans="2:18" ht="202.15" customHeight="1" x14ac:dyDescent="0.15">
      <c r="B9" s="49"/>
      <c r="C9" s="393" t="s">
        <v>247</v>
      </c>
      <c r="D9" s="394"/>
      <c r="E9" s="393" t="s">
        <v>113</v>
      </c>
      <c r="F9" s="394"/>
      <c r="G9" s="393" t="s">
        <v>112</v>
      </c>
      <c r="H9" s="394"/>
      <c r="I9" s="395"/>
      <c r="J9" s="396"/>
      <c r="K9" s="397" t="s">
        <v>210</v>
      </c>
      <c r="L9" s="397"/>
      <c r="M9" s="397" t="s">
        <v>211</v>
      </c>
      <c r="N9" s="397"/>
      <c r="O9" s="392" t="s">
        <v>212</v>
      </c>
      <c r="P9" s="392"/>
      <c r="Q9" s="49"/>
      <c r="R9" s="49"/>
    </row>
    <row r="10" spans="2:18" x14ac:dyDescent="0.15">
      <c r="B10" s="49"/>
      <c r="C10" s="149"/>
      <c r="D10" s="129"/>
      <c r="E10" s="129"/>
      <c r="F10" s="151"/>
      <c r="G10" s="129"/>
      <c r="H10" s="173"/>
      <c r="I10" s="50"/>
      <c r="J10" s="49"/>
      <c r="K10" s="49"/>
      <c r="L10" s="49"/>
      <c r="M10" s="49"/>
      <c r="N10" s="49"/>
      <c r="O10" s="49"/>
      <c r="P10" s="49"/>
      <c r="Q10" s="49"/>
      <c r="R10" s="49"/>
    </row>
    <row r="11" spans="2:18" x14ac:dyDescent="0.15">
      <c r="B11" s="49"/>
      <c r="C11" s="149"/>
      <c r="D11" s="129"/>
      <c r="E11" s="129"/>
      <c r="F11" s="151"/>
      <c r="G11" s="129"/>
      <c r="H11" s="173"/>
      <c r="I11" s="50"/>
      <c r="J11" s="49"/>
      <c r="K11" s="49"/>
      <c r="L11" s="49"/>
      <c r="M11" s="49"/>
      <c r="N11" s="49"/>
      <c r="O11" s="49"/>
      <c r="P11" s="49"/>
      <c r="Q11" s="49"/>
      <c r="R11" s="49"/>
    </row>
    <row r="12" spans="2:18" x14ac:dyDescent="0.15">
      <c r="B12" s="49"/>
      <c r="C12" s="149"/>
      <c r="D12" s="129"/>
      <c r="E12" s="129"/>
      <c r="F12" s="151"/>
      <c r="G12" s="129"/>
      <c r="H12" s="173"/>
      <c r="I12" s="50"/>
      <c r="J12" s="49"/>
      <c r="K12" s="49"/>
      <c r="L12" s="49"/>
      <c r="M12" s="49"/>
      <c r="N12" s="49"/>
      <c r="O12" s="49"/>
      <c r="P12" s="49"/>
      <c r="Q12" s="49"/>
      <c r="R12" s="49"/>
    </row>
    <row r="13" spans="2:18" x14ac:dyDescent="0.15">
      <c r="B13" s="49"/>
      <c r="C13" s="149"/>
      <c r="D13" s="129"/>
      <c r="E13" s="129"/>
      <c r="F13" s="151"/>
      <c r="G13" s="129"/>
      <c r="H13" s="173"/>
      <c r="I13" s="50"/>
      <c r="J13" s="49"/>
      <c r="K13" s="49"/>
      <c r="L13" s="49"/>
      <c r="M13" s="49"/>
      <c r="N13" s="49"/>
      <c r="O13" s="49"/>
      <c r="P13" s="49"/>
      <c r="Q13" s="49"/>
      <c r="R13" s="49"/>
    </row>
    <row r="14" spans="2:18" x14ac:dyDescent="0.15">
      <c r="C14" s="57"/>
      <c r="D14" s="58"/>
      <c r="E14" s="58"/>
      <c r="F14" s="59"/>
      <c r="G14" s="130"/>
      <c r="H14" s="60"/>
    </row>
  </sheetData>
  <mergeCells count="16">
    <mergeCell ref="D3:J3"/>
    <mergeCell ref="K7:P7"/>
    <mergeCell ref="C8:D8"/>
    <mergeCell ref="E8:F8"/>
    <mergeCell ref="G8:H8"/>
    <mergeCell ref="I8:J8"/>
    <mergeCell ref="K8:L8"/>
    <mergeCell ref="M8:N8"/>
    <mergeCell ref="O8:P8"/>
    <mergeCell ref="O9:P9"/>
    <mergeCell ref="C9:D9"/>
    <mergeCell ref="E9:F9"/>
    <mergeCell ref="G9:H9"/>
    <mergeCell ref="I9:J9"/>
    <mergeCell ref="K9:L9"/>
    <mergeCell ref="M9:N9"/>
  </mergeCells>
  <hyperlinks>
    <hyperlink ref="N2" location="'0. Summary Tab'!A1" display="Click here to return to Summary tab" xr:uid="{7D6AF9DE-08B2-4967-BE9D-D7A45C74B648}"/>
  </hyperlinks>
  <pageMargins left="0.75" right="0.75" top="1" bottom="1" header="0.5" footer="0.5"/>
  <pageSetup scale="30" fitToWidth="0" orientation="landscape" r:id="rId1"/>
  <headerFooter alignWithMargins="0"/>
  <customProperties>
    <customPr name="EpmWorksheetKeyString_GUID" r:id="rId2"/>
  </customProperties>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2:V48"/>
  <sheetViews>
    <sheetView showGridLines="0" zoomScaleNormal="100" workbookViewId="0"/>
  </sheetViews>
  <sheetFormatPr defaultColWidth="8.796875" defaultRowHeight="10.5" x14ac:dyDescent="0.15"/>
  <cols>
    <col min="1" max="1" width="2.19921875" style="33" customWidth="1"/>
    <col min="2" max="2" width="8.796875" style="33"/>
    <col min="3" max="3" width="21.19921875" style="33" customWidth="1"/>
    <col min="4" max="4" width="12.5" style="33" customWidth="1"/>
    <col min="5" max="5" width="19.796875" style="33" customWidth="1"/>
    <col min="6" max="6" width="32.5" style="33" customWidth="1"/>
    <col min="7" max="7" width="15.5" style="33" customWidth="1"/>
    <col min="8" max="8" width="13.5" style="33" bestFit="1" customWidth="1"/>
    <col min="9" max="9" width="16.19921875" style="33" customWidth="1"/>
    <col min="10" max="10" width="11.5" style="33" customWidth="1"/>
    <col min="11" max="11" width="14.5" style="33" customWidth="1"/>
    <col min="12" max="15" width="8.796875" style="33"/>
    <col min="16" max="16" width="19.5" style="33" bestFit="1" customWidth="1"/>
    <col min="17" max="16384" width="8.796875" style="33"/>
  </cols>
  <sheetData>
    <row r="2" spans="2:22" x14ac:dyDescent="0.15">
      <c r="B2" s="15"/>
      <c r="C2" s="15"/>
      <c r="D2" s="48"/>
      <c r="E2" s="48"/>
      <c r="F2" s="48"/>
      <c r="G2" s="48"/>
      <c r="H2" s="140" t="s">
        <v>25</v>
      </c>
      <c r="I2" s="48"/>
      <c r="J2" s="48"/>
      <c r="K2" s="48"/>
      <c r="L2" s="32"/>
      <c r="M2" s="32"/>
      <c r="N2" s="32"/>
      <c r="O2" s="32"/>
      <c r="P2" s="32"/>
      <c r="Q2" s="32"/>
      <c r="R2" s="32"/>
      <c r="S2" s="32"/>
      <c r="T2" s="32"/>
      <c r="U2" s="32"/>
      <c r="V2" s="32"/>
    </row>
    <row r="3" spans="2:22" x14ac:dyDescent="0.15">
      <c r="B3" s="31" t="s">
        <v>1</v>
      </c>
      <c r="C3" s="141" t="str">
        <f>'0. Summary Tab'!$C$5</f>
        <v>ABC Inc.</v>
      </c>
      <c r="D3" s="48"/>
      <c r="E3" s="48"/>
      <c r="F3" s="48"/>
      <c r="G3" s="48"/>
      <c r="H3" s="48"/>
      <c r="I3" s="48"/>
      <c r="J3" s="48"/>
      <c r="K3" s="48"/>
      <c r="L3" s="32"/>
      <c r="M3" s="32"/>
      <c r="N3" s="32"/>
      <c r="O3" s="32"/>
      <c r="P3" s="32"/>
      <c r="Q3" s="32"/>
      <c r="R3" s="32"/>
      <c r="S3" s="32"/>
      <c r="T3" s="32"/>
      <c r="U3" s="32"/>
      <c r="V3" s="32"/>
    </row>
    <row r="4" spans="2:22" x14ac:dyDescent="0.15">
      <c r="B4" s="34" t="s">
        <v>6</v>
      </c>
      <c r="C4" s="275" t="str">
        <f>'0. Summary Tab'!$C$6</f>
        <v>12/31/20XX</v>
      </c>
      <c r="D4" s="48"/>
      <c r="E4" s="48"/>
      <c r="F4" s="48"/>
      <c r="G4" s="48"/>
      <c r="H4" s="48"/>
      <c r="I4" s="48"/>
      <c r="J4" s="48"/>
      <c r="K4" s="48"/>
      <c r="L4" s="32"/>
      <c r="M4" s="32"/>
      <c r="N4" s="32"/>
      <c r="O4" s="32"/>
      <c r="P4" s="32"/>
      <c r="Q4" s="32"/>
      <c r="R4" s="32"/>
      <c r="S4" s="32"/>
      <c r="T4" s="32"/>
      <c r="U4" s="32"/>
      <c r="V4" s="32"/>
    </row>
    <row r="5" spans="2:22" x14ac:dyDescent="0.15">
      <c r="B5" s="53"/>
      <c r="C5" s="48"/>
      <c r="D5" s="48"/>
      <c r="E5" s="48"/>
      <c r="F5" s="48"/>
      <c r="G5" s="48"/>
      <c r="H5" s="48"/>
      <c r="I5" s="48"/>
      <c r="J5" s="48"/>
      <c r="K5" s="48"/>
      <c r="L5" s="32"/>
      <c r="M5" s="32"/>
      <c r="N5" s="32"/>
      <c r="O5" s="32"/>
      <c r="P5" s="32"/>
      <c r="Q5" s="32"/>
      <c r="R5" s="32"/>
      <c r="S5" s="32"/>
      <c r="T5" s="32"/>
      <c r="U5" s="32"/>
      <c r="V5" s="32"/>
    </row>
    <row r="6" spans="2:22" x14ac:dyDescent="0.15">
      <c r="B6" s="48"/>
      <c r="C6" s="48"/>
      <c r="D6" s="48"/>
      <c r="E6" s="48"/>
      <c r="F6" s="48"/>
      <c r="G6" s="48"/>
      <c r="H6" s="48"/>
      <c r="I6" s="48"/>
      <c r="J6" s="48"/>
      <c r="K6" s="48"/>
      <c r="L6" s="32"/>
      <c r="M6" s="32"/>
      <c r="N6" s="32"/>
      <c r="O6" s="32"/>
      <c r="P6" s="32"/>
      <c r="Q6" s="32"/>
      <c r="R6" s="32"/>
      <c r="S6" s="32"/>
      <c r="T6" s="32"/>
      <c r="U6" s="32"/>
      <c r="V6" s="32"/>
    </row>
    <row r="7" spans="2:22" x14ac:dyDescent="0.15">
      <c r="B7" s="48"/>
      <c r="C7" s="48"/>
      <c r="D7" s="48"/>
      <c r="E7" s="48"/>
      <c r="F7" s="48"/>
      <c r="G7" s="48"/>
      <c r="H7" s="48"/>
      <c r="I7" s="48"/>
      <c r="J7" s="49"/>
      <c r="K7" s="49"/>
      <c r="L7" s="32"/>
      <c r="M7" s="32"/>
      <c r="N7" s="32"/>
      <c r="O7" s="32"/>
      <c r="P7" s="32"/>
      <c r="Q7" s="32"/>
      <c r="R7" s="32"/>
      <c r="S7" s="32"/>
      <c r="T7" s="32"/>
      <c r="U7" s="32"/>
      <c r="V7" s="32"/>
    </row>
    <row r="8" spans="2:22" ht="13.9" customHeight="1" x14ac:dyDescent="0.15">
      <c r="B8" s="48"/>
      <c r="C8" s="174" t="s">
        <v>29</v>
      </c>
      <c r="D8" s="414" t="s">
        <v>227</v>
      </c>
      <c r="E8" s="414"/>
      <c r="F8" s="414"/>
      <c r="G8" s="414"/>
      <c r="H8" s="414"/>
      <c r="I8" s="414"/>
      <c r="J8" s="49"/>
      <c r="K8" s="49"/>
      <c r="L8" s="32"/>
      <c r="M8" s="32"/>
      <c r="N8" s="32"/>
      <c r="O8" s="32"/>
      <c r="P8" s="32"/>
      <c r="Q8" s="32"/>
      <c r="R8" s="32"/>
      <c r="S8" s="32"/>
      <c r="T8" s="32"/>
      <c r="U8" s="32"/>
      <c r="V8" s="32"/>
    </row>
    <row r="9" spans="2:22" ht="14.25" x14ac:dyDescent="0.2">
      <c r="B9" s="48"/>
      <c r="C9"/>
      <c r="D9"/>
      <c r="E9"/>
      <c r="F9"/>
      <c r="G9" s="48"/>
      <c r="H9" s="48"/>
      <c r="I9" s="48"/>
      <c r="J9" s="49"/>
      <c r="K9" s="49"/>
      <c r="L9" s="32"/>
      <c r="M9" s="32"/>
      <c r="N9" s="32"/>
      <c r="O9" s="32"/>
      <c r="P9" s="32"/>
      <c r="Q9" s="32"/>
      <c r="R9" s="32"/>
      <c r="S9" s="32"/>
      <c r="T9" s="32"/>
      <c r="U9" s="32"/>
      <c r="V9" s="32"/>
    </row>
    <row r="10" spans="2:22" x14ac:dyDescent="0.15">
      <c r="B10" s="48"/>
      <c r="C10" s="48"/>
      <c r="D10" s="48"/>
      <c r="E10" s="48"/>
      <c r="F10" s="48"/>
      <c r="G10" s="48"/>
      <c r="H10" s="48"/>
      <c r="I10" s="48"/>
      <c r="J10" s="49"/>
      <c r="K10" s="49"/>
      <c r="L10" s="32"/>
      <c r="M10" s="32"/>
      <c r="N10" s="32"/>
      <c r="O10" s="32"/>
      <c r="P10" s="32"/>
      <c r="Q10" s="32"/>
      <c r="R10" s="32"/>
      <c r="S10" s="32"/>
      <c r="T10" s="32"/>
      <c r="U10" s="32"/>
      <c r="V10" s="32"/>
    </row>
    <row r="11" spans="2:22" x14ac:dyDescent="0.15">
      <c r="B11" s="51"/>
      <c r="C11" s="52"/>
      <c r="D11" s="52"/>
      <c r="E11" s="52"/>
      <c r="F11" s="54"/>
      <c r="G11" s="52"/>
      <c r="H11" s="52"/>
      <c r="I11" s="52"/>
    </row>
    <row r="12" spans="2:22" x14ac:dyDescent="0.15">
      <c r="B12" s="51"/>
      <c r="C12" s="52"/>
      <c r="D12" s="52"/>
      <c r="E12" s="52"/>
      <c r="F12" s="54"/>
      <c r="G12" s="52"/>
      <c r="H12" s="52"/>
      <c r="I12" s="52"/>
    </row>
    <row r="13" spans="2:22" x14ac:dyDescent="0.15">
      <c r="B13" s="48"/>
      <c r="C13" s="70"/>
      <c r="D13" s="71"/>
      <c r="E13" s="71"/>
      <c r="F13" s="71"/>
      <c r="G13" s="71"/>
      <c r="H13" s="48"/>
      <c r="I13" s="48"/>
      <c r="J13" s="49"/>
      <c r="K13" s="49"/>
      <c r="L13" s="32"/>
      <c r="M13" s="32"/>
      <c r="N13" s="32"/>
      <c r="O13" s="32"/>
      <c r="P13" s="32"/>
      <c r="Q13" s="32"/>
      <c r="R13" s="32"/>
      <c r="S13" s="32"/>
      <c r="T13" s="32"/>
      <c r="U13" s="32"/>
      <c r="V13" s="32"/>
    </row>
    <row r="14" spans="2:22" x14ac:dyDescent="0.15">
      <c r="B14" s="55" t="s">
        <v>218</v>
      </c>
      <c r="C14" s="70"/>
      <c r="D14" s="71"/>
      <c r="E14" s="71"/>
      <c r="F14" s="71"/>
      <c r="G14" s="71"/>
      <c r="H14" s="48"/>
      <c r="I14" s="48"/>
      <c r="J14" s="49"/>
      <c r="K14" s="49"/>
      <c r="L14" s="32"/>
      <c r="M14" s="32"/>
      <c r="N14" s="32"/>
      <c r="O14" s="32"/>
      <c r="P14" s="32"/>
      <c r="Q14" s="32"/>
      <c r="R14" s="32"/>
      <c r="S14" s="32"/>
      <c r="T14" s="32"/>
      <c r="U14" s="32"/>
      <c r="V14" s="32"/>
    </row>
    <row r="15" spans="2:22" s="243" customFormat="1" ht="25.15" customHeight="1" thickBot="1" x14ac:dyDescent="0.25">
      <c r="B15" s="237" t="s">
        <v>38</v>
      </c>
      <c r="C15" s="238"/>
      <c r="D15" s="236"/>
      <c r="E15" s="236"/>
      <c r="F15" s="236"/>
      <c r="G15" s="239"/>
      <c r="H15" s="240"/>
      <c r="I15" s="237"/>
      <c r="J15" s="241"/>
      <c r="K15" s="242"/>
      <c r="L15" s="242"/>
      <c r="M15" s="242"/>
      <c r="N15" s="242"/>
      <c r="O15" s="242"/>
      <c r="P15" s="242"/>
      <c r="Q15" s="242"/>
      <c r="R15" s="242"/>
      <c r="S15" s="242"/>
      <c r="T15" s="242"/>
      <c r="U15" s="238"/>
      <c r="V15" s="238"/>
    </row>
    <row r="16" spans="2:22" x14ac:dyDescent="0.15">
      <c r="B16" s="48"/>
      <c r="C16" s="417" t="s">
        <v>40</v>
      </c>
      <c r="D16" s="418"/>
      <c r="E16" s="418"/>
      <c r="F16" s="72" t="s">
        <v>228</v>
      </c>
      <c r="G16" s="73" t="s">
        <v>30</v>
      </c>
      <c r="H16" s="61"/>
      <c r="I16" s="48"/>
      <c r="J16" s="49"/>
      <c r="K16" s="62"/>
      <c r="L16" s="62"/>
      <c r="M16" s="62"/>
      <c r="N16" s="62"/>
      <c r="O16" s="62"/>
      <c r="P16" s="62"/>
      <c r="Q16" s="62"/>
      <c r="R16" s="62"/>
      <c r="S16" s="62"/>
      <c r="T16" s="62"/>
      <c r="U16" s="32"/>
      <c r="V16" s="32"/>
    </row>
    <row r="17" spans="2:22" ht="24.6" customHeight="1" x14ac:dyDescent="0.15">
      <c r="B17" s="48"/>
      <c r="C17" s="428" t="s">
        <v>41</v>
      </c>
      <c r="D17" s="429"/>
      <c r="E17" s="64"/>
      <c r="F17" s="74" t="s">
        <v>39</v>
      </c>
      <c r="G17" s="75"/>
      <c r="H17" s="61"/>
      <c r="I17" s="48"/>
      <c r="J17" s="49"/>
      <c r="K17" s="62"/>
      <c r="L17" s="62"/>
      <c r="M17" s="62"/>
      <c r="N17" s="62"/>
      <c r="O17" s="62"/>
      <c r="P17" s="62"/>
      <c r="Q17" s="62"/>
      <c r="R17" s="62"/>
      <c r="S17" s="62"/>
      <c r="T17" s="62"/>
      <c r="U17" s="32"/>
      <c r="V17" s="32"/>
    </row>
    <row r="18" spans="2:22" ht="12.6" customHeight="1" x14ac:dyDescent="0.15">
      <c r="B18" s="48"/>
      <c r="C18" s="430" t="s">
        <v>44</v>
      </c>
      <c r="D18" s="431"/>
      <c r="E18" s="431"/>
      <c r="F18" s="431"/>
      <c r="G18" s="432"/>
      <c r="H18" s="61"/>
      <c r="I18" s="48"/>
      <c r="J18" s="49"/>
      <c r="K18" s="62"/>
      <c r="L18" s="62"/>
      <c r="M18" s="62"/>
      <c r="N18" s="62"/>
      <c r="O18" s="62"/>
      <c r="P18" s="62"/>
      <c r="Q18" s="62"/>
      <c r="R18" s="62"/>
      <c r="S18" s="62"/>
      <c r="T18" s="62"/>
      <c r="U18" s="32"/>
      <c r="V18" s="32"/>
    </row>
    <row r="19" spans="2:22" ht="33.4" customHeight="1" x14ac:dyDescent="0.15">
      <c r="B19" s="48"/>
      <c r="C19" s="428" t="s">
        <v>229</v>
      </c>
      <c r="D19" s="429"/>
      <c r="E19" s="65"/>
      <c r="F19" s="74" t="s">
        <v>39</v>
      </c>
      <c r="G19" s="77"/>
      <c r="H19" s="61"/>
      <c r="I19" s="48"/>
      <c r="J19" s="49"/>
      <c r="K19" s="62"/>
      <c r="L19" s="62"/>
      <c r="M19" s="62"/>
      <c r="N19" s="62"/>
      <c r="O19" s="62"/>
      <c r="P19" s="62"/>
      <c r="Q19" s="62"/>
      <c r="R19" s="62"/>
      <c r="S19" s="62"/>
      <c r="T19" s="62"/>
      <c r="U19" s="32"/>
      <c r="V19" s="32"/>
    </row>
    <row r="20" spans="2:22" ht="24.6" customHeight="1" x14ac:dyDescent="0.15">
      <c r="B20" s="48"/>
      <c r="C20" s="428" t="s">
        <v>230</v>
      </c>
      <c r="D20" s="429"/>
      <c r="E20" s="63"/>
      <c r="F20" s="74" t="s">
        <v>39</v>
      </c>
      <c r="G20" s="78"/>
      <c r="H20" s="61"/>
      <c r="I20" s="48"/>
      <c r="J20" s="49"/>
      <c r="K20" s="62"/>
      <c r="L20" s="62"/>
      <c r="M20" s="62"/>
      <c r="N20" s="62"/>
      <c r="O20" s="62"/>
      <c r="P20" s="62"/>
      <c r="Q20" s="62"/>
      <c r="R20" s="62"/>
      <c r="S20" s="62"/>
      <c r="T20" s="62"/>
      <c r="U20" s="32"/>
      <c r="V20" s="32"/>
    </row>
    <row r="21" spans="2:22" ht="12.75" x14ac:dyDescent="0.15">
      <c r="B21" s="48"/>
      <c r="C21" s="137"/>
      <c r="D21" s="136"/>
      <c r="E21" s="63"/>
      <c r="F21" s="76"/>
      <c r="G21" s="78"/>
      <c r="H21" s="61"/>
      <c r="I21" s="48"/>
      <c r="J21" s="49"/>
      <c r="K21" s="62"/>
      <c r="L21" s="62"/>
      <c r="M21" s="62"/>
      <c r="N21" s="62"/>
      <c r="O21" s="62"/>
      <c r="P21" s="62"/>
      <c r="Q21" s="62"/>
      <c r="R21" s="62"/>
      <c r="S21" s="62"/>
      <c r="T21" s="62"/>
      <c r="U21" s="32"/>
      <c r="V21" s="32"/>
    </row>
    <row r="22" spans="2:22" ht="24.6" customHeight="1" x14ac:dyDescent="0.15">
      <c r="B22" s="48"/>
      <c r="C22" s="428" t="s">
        <v>231</v>
      </c>
      <c r="D22" s="429"/>
      <c r="E22" s="65"/>
      <c r="F22" s="74" t="s">
        <v>39</v>
      </c>
      <c r="G22" s="79"/>
      <c r="H22" s="61"/>
      <c r="I22" s="48"/>
      <c r="J22" s="49"/>
      <c r="K22" s="62"/>
      <c r="L22" s="62"/>
      <c r="M22" s="62"/>
      <c r="N22" s="62"/>
      <c r="O22" s="62"/>
      <c r="P22" s="62"/>
      <c r="Q22" s="62"/>
      <c r="R22" s="62"/>
      <c r="S22" s="62"/>
      <c r="T22" s="62"/>
      <c r="U22" s="32"/>
      <c r="V22" s="32"/>
    </row>
    <row r="23" spans="2:22" ht="24.6" customHeight="1" thickBot="1" x14ac:dyDescent="0.2">
      <c r="B23" s="48"/>
      <c r="C23" s="415" t="s">
        <v>232</v>
      </c>
      <c r="D23" s="416"/>
      <c r="E23" s="63"/>
      <c r="F23" s="80" t="s">
        <v>39</v>
      </c>
      <c r="G23" s="81"/>
      <c r="H23" s="61"/>
      <c r="I23" s="48"/>
      <c r="J23" s="49"/>
      <c r="K23" s="62"/>
      <c r="L23" s="62"/>
      <c r="M23" s="62"/>
      <c r="N23" s="62"/>
      <c r="O23" s="62"/>
      <c r="P23" s="62"/>
      <c r="Q23" s="62"/>
      <c r="R23" s="62"/>
      <c r="S23" s="62"/>
      <c r="T23" s="62"/>
      <c r="U23" s="32"/>
      <c r="V23" s="32"/>
    </row>
    <row r="24" spans="2:22" ht="20.65" customHeight="1" x14ac:dyDescent="0.15">
      <c r="B24" s="48"/>
      <c r="C24" s="417" t="s">
        <v>45</v>
      </c>
      <c r="D24" s="418"/>
      <c r="E24" s="419"/>
      <c r="F24" s="82"/>
      <c r="G24" s="83"/>
      <c r="H24" s="61"/>
      <c r="I24" s="48"/>
      <c r="J24" s="49"/>
      <c r="K24" s="62"/>
      <c r="L24" s="62"/>
      <c r="M24" s="62"/>
      <c r="N24" s="62"/>
      <c r="O24" s="62"/>
      <c r="P24" s="62"/>
      <c r="Q24" s="62"/>
      <c r="R24" s="62"/>
      <c r="S24" s="62"/>
      <c r="T24" s="62"/>
      <c r="U24" s="32"/>
      <c r="V24" s="32"/>
    </row>
    <row r="25" spans="2:22" ht="46.15" customHeight="1" x14ac:dyDescent="0.15">
      <c r="B25" s="48"/>
      <c r="C25" s="420" t="s">
        <v>233</v>
      </c>
      <c r="D25" s="421"/>
      <c r="E25" s="84"/>
      <c r="F25" s="85" t="s">
        <v>39</v>
      </c>
      <c r="G25" s="86"/>
      <c r="H25" s="61"/>
      <c r="I25" s="48"/>
      <c r="J25" s="49"/>
      <c r="K25" s="62"/>
      <c r="L25" s="62"/>
      <c r="M25" s="62"/>
      <c r="N25" s="62"/>
      <c r="O25" s="62"/>
      <c r="P25" s="62"/>
      <c r="Q25" s="62"/>
      <c r="R25" s="62"/>
      <c r="S25" s="62"/>
      <c r="T25" s="62"/>
      <c r="U25" s="32"/>
      <c r="V25" s="32"/>
    </row>
    <row r="26" spans="2:22" ht="46.15" customHeight="1" thickBot="1" x14ac:dyDescent="0.2">
      <c r="B26" s="48"/>
      <c r="C26" s="422" t="s">
        <v>234</v>
      </c>
      <c r="D26" s="423"/>
      <c r="E26" s="87"/>
      <c r="F26" s="88" t="s">
        <v>39</v>
      </c>
      <c r="G26" s="89"/>
      <c r="H26" s="61"/>
      <c r="I26" s="48"/>
      <c r="J26" s="49"/>
      <c r="K26" s="62"/>
      <c r="L26" s="62"/>
      <c r="M26" s="62"/>
      <c r="N26" s="62"/>
      <c r="O26" s="62"/>
      <c r="P26" s="62"/>
      <c r="Q26" s="62"/>
      <c r="R26" s="62"/>
      <c r="S26" s="62"/>
      <c r="T26" s="62"/>
      <c r="U26" s="32"/>
      <c r="V26" s="32"/>
    </row>
    <row r="27" spans="2:22" x14ac:dyDescent="0.15">
      <c r="B27" s="48"/>
      <c r="C27" s="56"/>
      <c r="D27" s="36"/>
      <c r="E27" s="37"/>
      <c r="F27" s="128"/>
      <c r="G27" s="38"/>
      <c r="H27" s="61"/>
      <c r="I27" s="48"/>
      <c r="J27" s="49"/>
      <c r="K27" s="62"/>
      <c r="L27" s="62"/>
      <c r="M27" s="62"/>
      <c r="N27" s="62"/>
      <c r="O27" s="62"/>
      <c r="P27" s="62"/>
      <c r="Q27" s="62"/>
      <c r="R27" s="62"/>
      <c r="S27" s="62"/>
      <c r="T27" s="62"/>
      <c r="U27" s="32"/>
      <c r="V27" s="32"/>
    </row>
    <row r="28" spans="2:22" ht="20.65" customHeight="1" x14ac:dyDescent="0.15">
      <c r="B28" s="48"/>
      <c r="C28" s="424" t="s">
        <v>235</v>
      </c>
      <c r="D28" s="425" t="s">
        <v>248</v>
      </c>
      <c r="E28" s="425" t="s">
        <v>249</v>
      </c>
      <c r="F28" s="410" t="s">
        <v>30</v>
      </c>
      <c r="G28" s="412" t="s">
        <v>236</v>
      </c>
      <c r="H28" s="91" t="s">
        <v>46</v>
      </c>
      <c r="I28" s="91" t="s">
        <v>46</v>
      </c>
      <c r="J28" s="90" t="s">
        <v>47</v>
      </c>
      <c r="K28" s="92"/>
      <c r="L28" s="62"/>
      <c r="M28" s="62"/>
      <c r="N28" s="62"/>
      <c r="O28" s="62"/>
      <c r="P28" s="62"/>
      <c r="Q28" s="62"/>
      <c r="R28" s="62"/>
      <c r="S28" s="62"/>
      <c r="T28" s="62"/>
      <c r="U28" s="32"/>
      <c r="V28" s="32"/>
    </row>
    <row r="29" spans="2:22" ht="20.65" customHeight="1" x14ac:dyDescent="0.15">
      <c r="B29" s="48"/>
      <c r="C29" s="424"/>
      <c r="D29" s="426"/>
      <c r="E29" s="426"/>
      <c r="F29" s="410"/>
      <c r="G29" s="413"/>
      <c r="H29" s="90" t="s">
        <v>248</v>
      </c>
      <c r="I29" s="90" t="s">
        <v>249</v>
      </c>
      <c r="J29" s="90" t="s">
        <v>48</v>
      </c>
      <c r="K29" s="92"/>
      <c r="L29" s="62"/>
      <c r="M29" s="62"/>
      <c r="N29" s="62"/>
      <c r="O29" s="62"/>
      <c r="P29" s="62"/>
      <c r="Q29" s="62"/>
      <c r="R29" s="62"/>
      <c r="S29" s="62"/>
      <c r="T29" s="62"/>
      <c r="U29" s="32"/>
      <c r="V29" s="32"/>
    </row>
    <row r="30" spans="2:22" x14ac:dyDescent="0.15">
      <c r="B30" s="48"/>
      <c r="C30" s="424"/>
      <c r="D30" s="427"/>
      <c r="E30" s="427"/>
      <c r="F30" s="411"/>
      <c r="G30" s="93" t="s">
        <v>49</v>
      </c>
      <c r="H30" s="94" t="s">
        <v>49</v>
      </c>
      <c r="I30" s="94" t="s">
        <v>49</v>
      </c>
      <c r="J30" s="95" t="s">
        <v>49</v>
      </c>
      <c r="K30" s="92"/>
      <c r="L30" s="62"/>
      <c r="M30" s="62"/>
      <c r="N30" s="62"/>
      <c r="O30" s="62"/>
      <c r="P30" s="62"/>
      <c r="Q30" s="62"/>
      <c r="R30" s="62"/>
      <c r="S30" s="62"/>
      <c r="T30" s="62"/>
      <c r="U30" s="32"/>
      <c r="V30" s="32"/>
    </row>
    <row r="31" spans="2:22" ht="31.5" x14ac:dyDescent="0.15">
      <c r="B31" s="48"/>
      <c r="C31" s="96"/>
      <c r="D31" s="97" t="s">
        <v>39</v>
      </c>
      <c r="E31" s="97" t="s">
        <v>39</v>
      </c>
      <c r="F31" s="97" t="s">
        <v>50</v>
      </c>
      <c r="G31" s="133"/>
      <c r="H31" s="134"/>
      <c r="I31" s="134"/>
      <c r="J31" s="133"/>
      <c r="K31" s="92"/>
      <c r="L31" s="62"/>
      <c r="M31" s="62"/>
      <c r="N31" s="62"/>
      <c r="O31" s="62"/>
      <c r="P31" s="62"/>
      <c r="Q31" s="62"/>
      <c r="R31" s="62"/>
      <c r="S31" s="62"/>
      <c r="T31" s="62"/>
      <c r="U31" s="32"/>
      <c r="V31" s="32"/>
    </row>
    <row r="32" spans="2:22" x14ac:dyDescent="0.15">
      <c r="B32" s="48"/>
      <c r="C32" s="98" t="s">
        <v>51</v>
      </c>
      <c r="D32" s="99"/>
      <c r="E32" s="99"/>
      <c r="F32" s="99"/>
      <c r="G32" s="100">
        <f>IFERROR(D32/E32,1)</f>
        <v>1</v>
      </c>
      <c r="H32" s="101">
        <f>I43*(1+E17)*(IF(E22=1,(1+$E$23),1))</f>
        <v>100</v>
      </c>
      <c r="I32" s="102">
        <f>IF($E$19=1,100+(100*$E$20),100)</f>
        <v>100</v>
      </c>
      <c r="J32" s="103">
        <f>IFERROR(H32/I32,1)</f>
        <v>1</v>
      </c>
      <c r="K32" s="104"/>
      <c r="L32" s="62"/>
      <c r="M32" s="62"/>
      <c r="N32" s="62"/>
      <c r="O32" s="62"/>
      <c r="P32" s="62"/>
      <c r="Q32" s="62"/>
      <c r="R32" s="62"/>
      <c r="S32" s="62"/>
      <c r="T32" s="62"/>
      <c r="U32" s="32"/>
      <c r="V32" s="32"/>
    </row>
    <row r="33" spans="2:22" x14ac:dyDescent="0.15">
      <c r="B33" s="48"/>
      <c r="C33" s="98" t="s">
        <v>52</v>
      </c>
      <c r="D33" s="99"/>
      <c r="E33" s="99"/>
      <c r="F33" s="99"/>
      <c r="G33" s="100">
        <f>IFERROR(D33/E33,1)</f>
        <v>1</v>
      </c>
      <c r="H33" s="101">
        <f>IF($E$22=2,H32*(1+$E$23),H32)</f>
        <v>100</v>
      </c>
      <c r="I33" s="102">
        <f>IF($E$19=2,100+(100*$E$20),I32)</f>
        <v>100</v>
      </c>
      <c r="J33" s="103">
        <f>IFERROR(H33/I33,1)</f>
        <v>1</v>
      </c>
      <c r="K33" s="104"/>
      <c r="L33" s="62"/>
      <c r="M33" s="62"/>
      <c r="N33" s="62"/>
      <c r="O33" s="62"/>
      <c r="P33" s="62"/>
      <c r="Q33" s="62"/>
      <c r="R33" s="62"/>
      <c r="S33" s="62"/>
      <c r="T33" s="62"/>
      <c r="U33" s="32"/>
      <c r="V33" s="32"/>
    </row>
    <row r="34" spans="2:22" x14ac:dyDescent="0.15">
      <c r="B34" s="48"/>
      <c r="C34" s="98" t="s">
        <v>53</v>
      </c>
      <c r="D34" s="99"/>
      <c r="E34" s="99"/>
      <c r="F34" s="99"/>
      <c r="G34" s="100">
        <f t="shared" ref="G34:G42" si="0">IFERROR(D34/E34,1)</f>
        <v>1</v>
      </c>
      <c r="H34" s="101">
        <f>IF($E$22=3,H33*(1+$E$23),H33)</f>
        <v>100</v>
      </c>
      <c r="I34" s="102">
        <f>IF($E$19=3,100+(100*$E$20),I33)</f>
        <v>100</v>
      </c>
      <c r="J34" s="103">
        <f>IFERROR(H34/I34,1)</f>
        <v>1</v>
      </c>
      <c r="K34" s="104"/>
      <c r="L34" s="62"/>
      <c r="M34" s="62"/>
      <c r="N34" s="62"/>
      <c r="O34" s="62"/>
      <c r="P34" s="62"/>
      <c r="Q34" s="62"/>
      <c r="R34" s="62"/>
      <c r="S34" s="62"/>
      <c r="T34" s="62"/>
      <c r="U34" s="32"/>
      <c r="V34" s="32"/>
    </row>
    <row r="35" spans="2:22" x14ac:dyDescent="0.15">
      <c r="B35" s="48"/>
      <c r="C35" s="98" t="s">
        <v>54</v>
      </c>
      <c r="D35" s="99"/>
      <c r="E35" s="99"/>
      <c r="F35" s="99"/>
      <c r="G35" s="100">
        <f t="shared" si="0"/>
        <v>1</v>
      </c>
      <c r="H35" s="101">
        <f>IF($E$22=4,H34*(1+$E$23),H34)</f>
        <v>100</v>
      </c>
      <c r="I35" s="102">
        <f>IF($E$19=4,100+(100*$E$20),I34)</f>
        <v>100</v>
      </c>
      <c r="J35" s="103">
        <f>IFERROR(H35/I35,1)</f>
        <v>1</v>
      </c>
      <c r="K35" s="92"/>
      <c r="L35" s="62"/>
      <c r="M35" s="62"/>
      <c r="N35" s="62"/>
      <c r="O35" s="62"/>
      <c r="P35" s="62"/>
      <c r="Q35" s="62"/>
      <c r="R35" s="62"/>
      <c r="S35" s="62"/>
      <c r="T35" s="62"/>
      <c r="U35" s="32"/>
      <c r="V35" s="32"/>
    </row>
    <row r="36" spans="2:22" x14ac:dyDescent="0.15">
      <c r="B36" s="48"/>
      <c r="C36" s="98" t="s">
        <v>55</v>
      </c>
      <c r="D36" s="99"/>
      <c r="E36" s="99"/>
      <c r="F36" s="99"/>
      <c r="G36" s="100">
        <f t="shared" si="0"/>
        <v>1</v>
      </c>
      <c r="H36" s="101">
        <f>IF($E$22=5,H35*(1+$E$23),H35)</f>
        <v>100</v>
      </c>
      <c r="I36" s="102">
        <f>IF($E$19=5,100+($E$20*100),I35)</f>
        <v>100</v>
      </c>
      <c r="J36" s="103">
        <f>IFERROR(H36/I36,1)</f>
        <v>1</v>
      </c>
      <c r="K36" s="92"/>
      <c r="L36" s="62"/>
      <c r="M36" s="62"/>
      <c r="N36" s="62"/>
      <c r="O36" s="62"/>
      <c r="P36" s="62"/>
      <c r="Q36" s="62"/>
      <c r="R36" s="62"/>
      <c r="S36" s="62"/>
      <c r="T36" s="62"/>
      <c r="U36" s="32"/>
      <c r="V36" s="32"/>
    </row>
    <row r="37" spans="2:22" x14ac:dyDescent="0.15">
      <c r="B37" s="48"/>
      <c r="C37" s="98" t="s">
        <v>56</v>
      </c>
      <c r="D37" s="99"/>
      <c r="E37" s="99"/>
      <c r="F37" s="99"/>
      <c r="G37" s="100">
        <f t="shared" si="0"/>
        <v>1</v>
      </c>
      <c r="H37" s="101">
        <f>IF($E$22=6,H36*(1+$E$23),H36)</f>
        <v>100</v>
      </c>
      <c r="I37" s="102">
        <f>IF($E$19=6,100+(100*$E$20),I36)</f>
        <v>100</v>
      </c>
      <c r="J37" s="103">
        <f t="shared" ref="J37:J43" si="1">IFERROR(H37/I37,1)</f>
        <v>1</v>
      </c>
      <c r="K37" s="92"/>
      <c r="L37" s="62"/>
      <c r="M37" s="62"/>
      <c r="N37" s="62"/>
      <c r="O37" s="62"/>
      <c r="P37" s="62"/>
      <c r="Q37" s="62"/>
      <c r="R37" s="62"/>
      <c r="S37" s="62"/>
      <c r="T37" s="62"/>
      <c r="U37" s="32"/>
      <c r="V37" s="32"/>
    </row>
    <row r="38" spans="2:22" x14ac:dyDescent="0.15">
      <c r="B38" s="48"/>
      <c r="C38" s="98" t="s">
        <v>57</v>
      </c>
      <c r="D38" s="99"/>
      <c r="E38" s="99"/>
      <c r="F38" s="99"/>
      <c r="G38" s="100">
        <f t="shared" si="0"/>
        <v>1</v>
      </c>
      <c r="H38" s="101">
        <f>IF($E$22=7,H37*(1+$E$23),H37)</f>
        <v>100</v>
      </c>
      <c r="I38" s="102">
        <f>IF($E$19=7,100+(100*$E$20),I37)</f>
        <v>100</v>
      </c>
      <c r="J38" s="103">
        <f>IFERROR(H38/I38,1)</f>
        <v>1</v>
      </c>
      <c r="K38" s="92"/>
      <c r="L38" s="62"/>
      <c r="M38" s="62"/>
      <c r="N38" s="62"/>
      <c r="O38" s="62"/>
      <c r="P38" s="62"/>
      <c r="Q38" s="62"/>
      <c r="R38" s="62"/>
      <c r="S38" s="62"/>
      <c r="T38" s="62"/>
      <c r="U38" s="32"/>
      <c r="V38" s="32"/>
    </row>
    <row r="39" spans="2:22" x14ac:dyDescent="0.15">
      <c r="B39" s="48"/>
      <c r="C39" s="98" t="s">
        <v>58</v>
      </c>
      <c r="D39" s="99"/>
      <c r="E39" s="99"/>
      <c r="F39" s="99"/>
      <c r="G39" s="100">
        <f t="shared" si="0"/>
        <v>1</v>
      </c>
      <c r="H39" s="101">
        <f>IF($E$22=8,H38*(1+$E$23),H38)</f>
        <v>100</v>
      </c>
      <c r="I39" s="102">
        <f>IF($E$19=8,100+(100*$E$20),I38)</f>
        <v>100</v>
      </c>
      <c r="J39" s="103">
        <f>IFERROR(H39/I39,1)</f>
        <v>1</v>
      </c>
      <c r="K39" s="92"/>
      <c r="L39" s="62"/>
      <c r="M39" s="62"/>
      <c r="N39" s="62"/>
      <c r="O39" s="62"/>
      <c r="P39" s="62"/>
      <c r="Q39" s="62"/>
      <c r="R39" s="62"/>
      <c r="S39" s="62"/>
      <c r="T39" s="62"/>
      <c r="U39" s="32"/>
      <c r="V39" s="32"/>
    </row>
    <row r="40" spans="2:22" x14ac:dyDescent="0.15">
      <c r="B40" s="48"/>
      <c r="C40" s="98" t="s">
        <v>59</v>
      </c>
      <c r="D40" s="99"/>
      <c r="E40" s="99"/>
      <c r="F40" s="99"/>
      <c r="G40" s="100">
        <f t="shared" si="0"/>
        <v>1</v>
      </c>
      <c r="H40" s="101">
        <f>IF($E$22=9,H39*(1+$E$23),H39)</f>
        <v>100</v>
      </c>
      <c r="I40" s="102">
        <f>IF($E$19=9,100+(100*$E$20),I39)</f>
        <v>100</v>
      </c>
      <c r="J40" s="103">
        <f t="shared" si="1"/>
        <v>1</v>
      </c>
      <c r="K40" s="92"/>
      <c r="L40" s="62"/>
      <c r="M40" s="62"/>
      <c r="N40" s="62"/>
      <c r="O40" s="62"/>
      <c r="P40" s="62"/>
      <c r="Q40" s="62"/>
      <c r="R40" s="62"/>
      <c r="S40" s="62"/>
      <c r="T40" s="62"/>
      <c r="U40" s="32"/>
      <c r="V40" s="32"/>
    </row>
    <row r="41" spans="2:22" x14ac:dyDescent="0.15">
      <c r="B41" s="48"/>
      <c r="C41" s="98" t="s">
        <v>60</v>
      </c>
      <c r="D41" s="99"/>
      <c r="E41" s="99"/>
      <c r="F41" s="99"/>
      <c r="G41" s="100">
        <f t="shared" si="0"/>
        <v>1</v>
      </c>
      <c r="H41" s="101">
        <f>IF($E$22=10,H40*(1+$E$23),H40)</f>
        <v>100</v>
      </c>
      <c r="I41" s="102">
        <f>IF($E$19=10,100+(100*$E$20),I40)</f>
        <v>100</v>
      </c>
      <c r="J41" s="103">
        <f t="shared" si="1"/>
        <v>1</v>
      </c>
      <c r="K41" s="92"/>
      <c r="L41" s="62"/>
      <c r="M41" s="62"/>
      <c r="N41" s="62"/>
      <c r="O41" s="62"/>
      <c r="P41" s="62"/>
      <c r="Q41" s="62"/>
      <c r="R41" s="62"/>
      <c r="S41" s="62"/>
      <c r="T41" s="62"/>
      <c r="U41" s="32"/>
      <c r="V41" s="32"/>
    </row>
    <row r="42" spans="2:22" x14ac:dyDescent="0.15">
      <c r="B42" s="48"/>
      <c r="C42" s="98" t="s">
        <v>61</v>
      </c>
      <c r="D42" s="99"/>
      <c r="E42" s="99"/>
      <c r="F42" s="99"/>
      <c r="G42" s="100">
        <f t="shared" si="0"/>
        <v>1</v>
      </c>
      <c r="H42" s="101">
        <f>IF($E$22=11,H41*(1+$E$23),H41)</f>
        <v>100</v>
      </c>
      <c r="I42" s="102">
        <f>IF($E$19=11,100+(100*$E$20),I41)</f>
        <v>100</v>
      </c>
      <c r="J42" s="103">
        <f>IFERROR(H42/I42,1)</f>
        <v>1</v>
      </c>
      <c r="K42" s="104"/>
      <c r="L42" s="62"/>
      <c r="M42" s="62"/>
      <c r="N42" s="62"/>
      <c r="O42" s="62"/>
      <c r="P42" s="62"/>
      <c r="Q42" s="62"/>
      <c r="R42" s="62"/>
      <c r="S42" s="62"/>
      <c r="T42" s="62"/>
      <c r="U42" s="32"/>
      <c r="V42" s="32"/>
    </row>
    <row r="43" spans="2:22" x14ac:dyDescent="0.15">
      <c r="B43" s="48"/>
      <c r="C43" s="105" t="s">
        <v>62</v>
      </c>
      <c r="D43" s="99"/>
      <c r="E43" s="99"/>
      <c r="F43" s="106"/>
      <c r="G43" s="107">
        <f>IFERROR(D43/E43,1)</f>
        <v>1</v>
      </c>
      <c r="H43" s="108">
        <f>IF($E$22=12,H42*(1+$E$23),H42)</f>
        <v>100</v>
      </c>
      <c r="I43" s="109">
        <f>IF($E$19=12,100+(100*$E$20),I42)</f>
        <v>100</v>
      </c>
      <c r="J43" s="110">
        <f t="shared" si="1"/>
        <v>1</v>
      </c>
      <c r="K43" s="104"/>
      <c r="L43" s="62"/>
      <c r="M43" s="62"/>
      <c r="N43" s="62"/>
      <c r="O43" s="62"/>
      <c r="P43" s="62"/>
      <c r="Q43" s="62"/>
      <c r="R43" s="62"/>
      <c r="S43" s="62"/>
      <c r="T43" s="62"/>
      <c r="U43" s="32"/>
      <c r="V43" s="32"/>
    </row>
    <row r="44" spans="2:22" x14ac:dyDescent="0.15">
      <c r="B44" s="48"/>
      <c r="C44" s="111" t="s">
        <v>63</v>
      </c>
      <c r="D44" s="112">
        <f>IFERROR(AVERAGE(D32:D43),0)</f>
        <v>0</v>
      </c>
      <c r="E44" s="112">
        <f>IFERROR(AVERAGE(E32:E43),)</f>
        <v>0</v>
      </c>
      <c r="F44" s="112"/>
      <c r="G44" s="122">
        <f>IFERROR(D44/E44,1)</f>
        <v>1</v>
      </c>
      <c r="H44" s="121">
        <f>AVERAGE(H32:H43)</f>
        <v>100</v>
      </c>
      <c r="I44" s="121">
        <f>AVERAGE(I32:I43)</f>
        <v>100</v>
      </c>
      <c r="J44" s="123">
        <f>IFERROR(H44/I44,1)</f>
        <v>1</v>
      </c>
      <c r="K44" s="67"/>
      <c r="L44" s="62"/>
      <c r="M44" s="62"/>
      <c r="N44" s="62"/>
      <c r="O44" s="62"/>
      <c r="P44" s="62"/>
      <c r="Q44" s="62"/>
      <c r="R44" s="62"/>
      <c r="S44" s="62"/>
      <c r="T44" s="62"/>
      <c r="U44" s="32"/>
      <c r="V44" s="32"/>
    </row>
    <row r="45" spans="2:22" x14ac:dyDescent="0.15">
      <c r="B45" s="32"/>
      <c r="C45" s="119"/>
      <c r="D45" s="120"/>
      <c r="E45" s="37"/>
      <c r="F45" s="128"/>
      <c r="G45" s="38"/>
      <c r="H45" s="32"/>
      <c r="I45" s="32"/>
      <c r="J45" s="32"/>
      <c r="K45" s="32"/>
      <c r="L45" s="32"/>
      <c r="M45" s="32"/>
      <c r="N45" s="32"/>
      <c r="O45" s="62"/>
      <c r="P45" s="62"/>
      <c r="Q45" s="62"/>
      <c r="R45" s="62"/>
      <c r="S45" s="62"/>
      <c r="T45" s="62"/>
      <c r="U45" s="32"/>
      <c r="V45" s="32"/>
    </row>
    <row r="46" spans="2:22" x14ac:dyDescent="0.15">
      <c r="B46" s="40"/>
      <c r="C46" s="32"/>
      <c r="D46" s="32"/>
      <c r="E46" s="32"/>
      <c r="F46" s="32"/>
      <c r="G46" s="32"/>
      <c r="H46" s="49"/>
      <c r="I46" s="49"/>
      <c r="J46" s="49"/>
      <c r="K46" s="49"/>
      <c r="L46" s="32"/>
      <c r="M46" s="32"/>
      <c r="N46" s="32"/>
      <c r="O46" s="32"/>
      <c r="P46" s="32"/>
      <c r="Q46" s="32"/>
      <c r="R46" s="32"/>
      <c r="S46" s="32"/>
      <c r="T46" s="32"/>
      <c r="U46" s="32"/>
      <c r="V46" s="32"/>
    </row>
    <row r="47" spans="2:22" x14ac:dyDescent="0.15">
      <c r="B47" s="68"/>
      <c r="C47" s="113"/>
      <c r="D47" s="113"/>
      <c r="E47" s="113"/>
      <c r="F47" s="113"/>
      <c r="G47" s="113"/>
      <c r="H47" s="113"/>
      <c r="I47" s="113"/>
      <c r="J47" s="113"/>
      <c r="K47" s="32"/>
      <c r="L47" s="49"/>
      <c r="M47" s="49"/>
      <c r="N47" s="49"/>
      <c r="O47" s="49"/>
      <c r="P47" s="49"/>
      <c r="Q47" s="49"/>
      <c r="R47" s="49"/>
      <c r="S47" s="49"/>
      <c r="T47" s="49"/>
      <c r="U47" s="49"/>
      <c r="V47" s="49"/>
    </row>
    <row r="48" spans="2:22" x14ac:dyDescent="0.15">
      <c r="B48" s="32"/>
      <c r="C48" s="114"/>
      <c r="D48" s="114"/>
      <c r="E48" s="114"/>
      <c r="F48" s="32"/>
      <c r="G48" s="32"/>
      <c r="H48" s="32"/>
      <c r="I48" s="32"/>
      <c r="J48" s="32"/>
      <c r="K48" s="32"/>
      <c r="L48" s="49"/>
      <c r="M48" s="49"/>
      <c r="N48" s="49"/>
      <c r="O48" s="49"/>
      <c r="P48" s="49"/>
      <c r="Q48" s="49"/>
      <c r="R48" s="49"/>
      <c r="S48" s="49"/>
      <c r="T48" s="49"/>
      <c r="U48" s="49"/>
      <c r="V48" s="49"/>
    </row>
  </sheetData>
  <mergeCells count="16">
    <mergeCell ref="F28:F30"/>
    <mergeCell ref="G28:G29"/>
    <mergeCell ref="D8:I8"/>
    <mergeCell ref="C23:D23"/>
    <mergeCell ref="C24:E24"/>
    <mergeCell ref="C25:D25"/>
    <mergeCell ref="C26:D26"/>
    <mergeCell ref="C28:C30"/>
    <mergeCell ref="D28:D30"/>
    <mergeCell ref="E28:E30"/>
    <mergeCell ref="C16:E16"/>
    <mergeCell ref="C17:D17"/>
    <mergeCell ref="C19:D19"/>
    <mergeCell ref="C20:D20"/>
    <mergeCell ref="C22:D22"/>
    <mergeCell ref="C18:G18"/>
  </mergeCells>
  <dataValidations count="1">
    <dataValidation type="list" allowBlank="1" showInputMessage="1" showErrorMessage="1" sqref="E22 E19" xr:uid="{00000000-0002-0000-0700-000000000000}">
      <formula1>"1,2,3,4,5,6,7,8,9,10,11,12"</formula1>
    </dataValidation>
  </dataValidations>
  <hyperlinks>
    <hyperlink ref="H2" location="'0. Summary Tab'!A1" display="Click here to return to Summary tab" xr:uid="{D88EE9DA-36D6-4A82-9D1A-CF3E3DAAD297}"/>
  </hyperlinks>
  <pageMargins left="0.75" right="0.75" top="1" bottom="1" header="0.5" footer="0.5"/>
  <pageSetup orientation="portrait" r:id="rId1"/>
  <headerFooter alignWithMargins="0"/>
  <customProperties>
    <customPr name="EpmWorksheetKeyString_GUID" r:id="rId2"/>
  </customProperties>
  <drawing r:id="rId3"/>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700-000001000000}">
          <x14:formula1>
            <xm:f>'Parameters (Hide)'!$C$1:$C$3</xm:f>
          </x14:formula1>
          <xm:sqref>F5</xm:sqref>
        </x14:dataValidation>
        <x14:dataValidation type="list" allowBlank="1" showInputMessage="1" showErrorMessage="1" xr:uid="{00000000-0002-0000-0700-000002000000}">
          <x14:formula1>
            <xm:f>'Parameters (Hide)'!$G$1:$G$10</xm:f>
          </x14:formula1>
          <xm:sqref>F4</xm:sqref>
        </x14:dataValidation>
        <x14:dataValidation type="list" allowBlank="1" showInputMessage="1" showErrorMessage="1" xr:uid="{00000000-0002-0000-0700-000003000000}">
          <x14:formula1>
            <xm:f>'Parameters (Hide)'!$F$1:$F$3</xm:f>
          </x14:formula1>
          <xm:sqref>F3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H54"/>
  <sheetViews>
    <sheetView showGridLines="0" zoomScaleNormal="100" workbookViewId="0"/>
  </sheetViews>
  <sheetFormatPr defaultColWidth="9.19921875" defaultRowHeight="10.5" outlineLevelRow="1" x14ac:dyDescent="0.15"/>
  <cols>
    <col min="1" max="1" width="8.796875" style="24" customWidth="1"/>
    <col min="2" max="16384" width="9.19921875" style="22"/>
  </cols>
  <sheetData>
    <row r="1" spans="1:8" x14ac:dyDescent="0.15">
      <c r="A1" s="20" t="s">
        <v>64</v>
      </c>
      <c r="B1" s="21"/>
      <c r="C1" s="21"/>
      <c r="D1" s="21"/>
      <c r="E1" s="21"/>
      <c r="F1" s="21"/>
      <c r="G1" s="21"/>
      <c r="H1" s="21"/>
    </row>
    <row r="2" spans="1:8" x14ac:dyDescent="0.15">
      <c r="A2" s="23"/>
    </row>
    <row r="3" spans="1:8" outlineLevel="1" x14ac:dyDescent="0.15">
      <c r="A3" s="23" t="s">
        <v>65</v>
      </c>
      <c r="B3" s="433"/>
      <c r="C3" s="433"/>
      <c r="D3" s="433"/>
      <c r="E3" s="433"/>
      <c r="F3" s="433"/>
      <c r="G3" s="433"/>
      <c r="H3" s="433"/>
    </row>
    <row r="4" spans="1:8" x14ac:dyDescent="0.15">
      <c r="A4" s="23"/>
    </row>
    <row r="5" spans="1:8" outlineLevel="1" x14ac:dyDescent="0.15">
      <c r="A5" s="23" t="s">
        <v>66</v>
      </c>
      <c r="B5" s="433"/>
      <c r="C5" s="433"/>
      <c r="D5" s="433"/>
      <c r="E5" s="433"/>
      <c r="F5" s="433"/>
      <c r="G5" s="433"/>
      <c r="H5" s="433"/>
    </row>
    <row r="6" spans="1:8" x14ac:dyDescent="0.15">
      <c r="A6" s="23"/>
    </row>
    <row r="7" spans="1:8" outlineLevel="1" x14ac:dyDescent="0.15">
      <c r="A7" s="23" t="s">
        <v>67</v>
      </c>
      <c r="B7" s="433"/>
      <c r="C7" s="433"/>
      <c r="D7" s="433"/>
      <c r="E7" s="433"/>
      <c r="F7" s="433"/>
      <c r="G7" s="433"/>
      <c r="H7" s="433"/>
    </row>
    <row r="8" spans="1:8" x14ac:dyDescent="0.15">
      <c r="A8" s="23"/>
    </row>
    <row r="9" spans="1:8" ht="45.4" hidden="1" customHeight="1" outlineLevel="1" x14ac:dyDescent="0.15">
      <c r="A9" s="23" t="s">
        <v>68</v>
      </c>
      <c r="B9" s="433"/>
      <c r="C9" s="433"/>
      <c r="D9" s="433"/>
      <c r="E9" s="433"/>
      <c r="F9" s="433"/>
      <c r="G9" s="433"/>
      <c r="H9" s="433"/>
    </row>
    <row r="10" spans="1:8" collapsed="1" x14ac:dyDescent="0.15">
      <c r="A10" s="23"/>
    </row>
    <row r="11" spans="1:8" ht="45.4" hidden="1" customHeight="1" outlineLevel="1" x14ac:dyDescent="0.15">
      <c r="A11" s="23" t="s">
        <v>69</v>
      </c>
      <c r="B11" s="433"/>
      <c r="C11" s="433"/>
      <c r="D11" s="433"/>
      <c r="E11" s="433"/>
      <c r="F11" s="433"/>
      <c r="G11" s="433"/>
      <c r="H11" s="433"/>
    </row>
    <row r="12" spans="1:8" ht="13.35" customHeight="1" collapsed="1" x14ac:dyDescent="0.15">
      <c r="A12" s="23"/>
    </row>
    <row r="13" spans="1:8" ht="45.4" hidden="1" customHeight="1" outlineLevel="1" x14ac:dyDescent="0.15">
      <c r="A13" s="23" t="s">
        <v>70</v>
      </c>
      <c r="B13" s="433"/>
      <c r="C13" s="433"/>
      <c r="D13" s="433"/>
      <c r="E13" s="433"/>
      <c r="F13" s="433"/>
      <c r="G13" s="433"/>
      <c r="H13" s="433"/>
    </row>
    <row r="14" spans="1:8" ht="13.35" customHeight="1" collapsed="1" x14ac:dyDescent="0.15">
      <c r="A14" s="23"/>
    </row>
    <row r="15" spans="1:8" ht="45.4" hidden="1" customHeight="1" outlineLevel="1" x14ac:dyDescent="0.15">
      <c r="A15" s="23" t="s">
        <v>71</v>
      </c>
      <c r="B15" s="433"/>
      <c r="C15" s="433"/>
      <c r="D15" s="433"/>
      <c r="E15" s="433"/>
      <c r="F15" s="433"/>
      <c r="G15" s="433"/>
      <c r="H15" s="433"/>
    </row>
    <row r="16" spans="1:8" ht="13.35" customHeight="1" collapsed="1" x14ac:dyDescent="0.15">
      <c r="A16" s="23"/>
    </row>
    <row r="17" spans="1:8" ht="45.4" hidden="1" customHeight="1" outlineLevel="1" x14ac:dyDescent="0.15">
      <c r="A17" s="23" t="s">
        <v>72</v>
      </c>
      <c r="B17" s="433"/>
      <c r="C17" s="433"/>
      <c r="D17" s="433"/>
      <c r="E17" s="433"/>
      <c r="F17" s="433"/>
      <c r="G17" s="433"/>
      <c r="H17" s="433"/>
    </row>
    <row r="18" spans="1:8" ht="13.35" customHeight="1" collapsed="1" x14ac:dyDescent="0.15">
      <c r="A18" s="23"/>
    </row>
    <row r="19" spans="1:8" ht="45.4" hidden="1" customHeight="1" outlineLevel="1" x14ac:dyDescent="0.15">
      <c r="A19" s="23" t="s">
        <v>73</v>
      </c>
      <c r="B19" s="433"/>
      <c r="C19" s="433"/>
      <c r="D19" s="433"/>
      <c r="E19" s="433"/>
      <c r="F19" s="433"/>
      <c r="G19" s="433"/>
      <c r="H19" s="433"/>
    </row>
    <row r="20" spans="1:8" ht="13.35" customHeight="1" collapsed="1" x14ac:dyDescent="0.15">
      <c r="A20" s="23"/>
    </row>
    <row r="21" spans="1:8" ht="45.4" hidden="1" customHeight="1" outlineLevel="1" x14ac:dyDescent="0.15">
      <c r="A21" s="23" t="s">
        <v>74</v>
      </c>
      <c r="B21" s="433"/>
      <c r="C21" s="433"/>
      <c r="D21" s="433"/>
      <c r="E21" s="433"/>
      <c r="F21" s="433"/>
      <c r="G21" s="433"/>
      <c r="H21" s="433"/>
    </row>
    <row r="22" spans="1:8" ht="13.35" customHeight="1" collapsed="1" x14ac:dyDescent="0.15">
      <c r="A22" s="23"/>
    </row>
    <row r="23" spans="1:8" ht="45.4" hidden="1" customHeight="1" outlineLevel="1" x14ac:dyDescent="0.15">
      <c r="A23" s="23" t="s">
        <v>75</v>
      </c>
      <c r="B23" s="433"/>
      <c r="C23" s="433"/>
      <c r="D23" s="433"/>
      <c r="E23" s="433"/>
      <c r="F23" s="433"/>
      <c r="G23" s="433"/>
      <c r="H23" s="433"/>
    </row>
    <row r="24" spans="1:8" ht="13.35" customHeight="1" collapsed="1" x14ac:dyDescent="0.15">
      <c r="A24" s="23"/>
    </row>
    <row r="25" spans="1:8" ht="45.4" hidden="1" customHeight="1" outlineLevel="1" x14ac:dyDescent="0.15">
      <c r="A25" s="23" t="s">
        <v>76</v>
      </c>
      <c r="B25" s="433"/>
      <c r="C25" s="433"/>
      <c r="D25" s="433"/>
      <c r="E25" s="433"/>
      <c r="F25" s="433"/>
      <c r="G25" s="433"/>
      <c r="H25" s="433"/>
    </row>
    <row r="26" spans="1:8" ht="13.35" customHeight="1" collapsed="1" x14ac:dyDescent="0.15">
      <c r="A26" s="23"/>
    </row>
    <row r="27" spans="1:8" ht="45.4" hidden="1" customHeight="1" outlineLevel="1" x14ac:dyDescent="0.15">
      <c r="A27" s="23" t="s">
        <v>77</v>
      </c>
      <c r="B27" s="433"/>
      <c r="C27" s="433"/>
      <c r="D27" s="433"/>
      <c r="E27" s="433"/>
      <c r="F27" s="433"/>
      <c r="G27" s="433"/>
      <c r="H27" s="433"/>
    </row>
    <row r="28" spans="1:8" ht="13.35" customHeight="1" collapsed="1" x14ac:dyDescent="0.15">
      <c r="A28" s="23"/>
    </row>
    <row r="29" spans="1:8" ht="45.4" hidden="1" customHeight="1" outlineLevel="1" x14ac:dyDescent="0.15">
      <c r="A29" s="23" t="s">
        <v>78</v>
      </c>
      <c r="B29" s="433"/>
      <c r="C29" s="433"/>
      <c r="D29" s="433"/>
      <c r="E29" s="433"/>
      <c r="F29" s="433"/>
      <c r="G29" s="433"/>
      <c r="H29" s="433"/>
    </row>
    <row r="30" spans="1:8" ht="13.35" customHeight="1" collapsed="1" x14ac:dyDescent="0.15">
      <c r="A30" s="23"/>
    </row>
    <row r="31" spans="1:8" ht="45.4" hidden="1" customHeight="1" outlineLevel="1" x14ac:dyDescent="0.15">
      <c r="A31" s="23" t="s">
        <v>79</v>
      </c>
      <c r="B31" s="433"/>
      <c r="C31" s="433"/>
      <c r="D31" s="433"/>
      <c r="E31" s="433"/>
      <c r="F31" s="433"/>
      <c r="G31" s="433"/>
      <c r="H31" s="433"/>
    </row>
    <row r="32" spans="1:8" ht="13.35" customHeight="1" collapsed="1" x14ac:dyDescent="0.15">
      <c r="A32" s="23"/>
    </row>
    <row r="33" spans="1:8" ht="45.4" hidden="1" customHeight="1" outlineLevel="1" x14ac:dyDescent="0.15">
      <c r="A33" s="23" t="s">
        <v>80</v>
      </c>
      <c r="B33" s="433"/>
      <c r="C33" s="433"/>
      <c r="D33" s="433"/>
      <c r="E33" s="433"/>
      <c r="F33" s="433"/>
      <c r="G33" s="433"/>
      <c r="H33" s="433"/>
    </row>
    <row r="34" spans="1:8" ht="13.35" customHeight="1" collapsed="1" x14ac:dyDescent="0.15">
      <c r="A34" s="23"/>
    </row>
    <row r="35" spans="1:8" ht="45.4" hidden="1" customHeight="1" outlineLevel="1" x14ac:dyDescent="0.15">
      <c r="A35" s="23" t="s">
        <v>81</v>
      </c>
      <c r="B35" s="433"/>
      <c r="C35" s="433"/>
      <c r="D35" s="433"/>
      <c r="E35" s="433"/>
      <c r="F35" s="433"/>
      <c r="G35" s="433"/>
      <c r="H35" s="433"/>
    </row>
    <row r="36" spans="1:8" ht="13.35" customHeight="1" collapsed="1" x14ac:dyDescent="0.15">
      <c r="A36" s="23"/>
    </row>
    <row r="37" spans="1:8" ht="45.4" hidden="1" customHeight="1" outlineLevel="1" x14ac:dyDescent="0.15">
      <c r="A37" s="23" t="s">
        <v>82</v>
      </c>
      <c r="B37" s="433"/>
      <c r="C37" s="433"/>
      <c r="D37" s="433"/>
      <c r="E37" s="433"/>
      <c r="F37" s="433"/>
      <c r="G37" s="433"/>
      <c r="H37" s="433"/>
    </row>
    <row r="38" spans="1:8" ht="13.35" customHeight="1" collapsed="1" x14ac:dyDescent="0.15">
      <c r="A38" s="23"/>
    </row>
    <row r="39" spans="1:8" ht="45.4" hidden="1" customHeight="1" outlineLevel="1" x14ac:dyDescent="0.15">
      <c r="A39" s="23" t="s">
        <v>83</v>
      </c>
      <c r="B39" s="433"/>
      <c r="C39" s="433"/>
      <c r="D39" s="433"/>
      <c r="E39" s="433"/>
      <c r="F39" s="433"/>
      <c r="G39" s="433"/>
      <c r="H39" s="433"/>
    </row>
    <row r="40" spans="1:8" ht="13.35" customHeight="1" collapsed="1" x14ac:dyDescent="0.15">
      <c r="A40" s="23"/>
    </row>
    <row r="41" spans="1:8" ht="45.4" hidden="1" customHeight="1" outlineLevel="1" x14ac:dyDescent="0.15">
      <c r="A41" s="23" t="s">
        <v>84</v>
      </c>
      <c r="B41" s="433"/>
      <c r="C41" s="433"/>
      <c r="D41" s="433"/>
      <c r="E41" s="433"/>
      <c r="F41" s="433"/>
      <c r="G41" s="433"/>
      <c r="H41" s="433"/>
    </row>
    <row r="42" spans="1:8" ht="13.35" customHeight="1" collapsed="1" x14ac:dyDescent="0.15">
      <c r="A42" s="23"/>
    </row>
    <row r="43" spans="1:8" ht="45.4" hidden="1" customHeight="1" outlineLevel="1" x14ac:dyDescent="0.15">
      <c r="A43" s="23" t="s">
        <v>85</v>
      </c>
      <c r="B43" s="433"/>
      <c r="C43" s="433"/>
      <c r="D43" s="433"/>
      <c r="E43" s="433"/>
      <c r="F43" s="433"/>
      <c r="G43" s="433"/>
      <c r="H43" s="433"/>
    </row>
    <row r="44" spans="1:8" ht="13.35" customHeight="1" collapsed="1" x14ac:dyDescent="0.15">
      <c r="A44" s="23"/>
    </row>
    <row r="45" spans="1:8" ht="45.4" hidden="1" customHeight="1" outlineLevel="1" x14ac:dyDescent="0.15">
      <c r="A45" s="23" t="s">
        <v>86</v>
      </c>
      <c r="B45" s="433"/>
      <c r="C45" s="433"/>
      <c r="D45" s="433"/>
      <c r="E45" s="433"/>
      <c r="F45" s="433"/>
      <c r="G45" s="433"/>
      <c r="H45" s="433"/>
    </row>
    <row r="46" spans="1:8" ht="13.35" customHeight="1" collapsed="1" x14ac:dyDescent="0.15">
      <c r="A46" s="23"/>
    </row>
    <row r="47" spans="1:8" ht="45.4" hidden="1" customHeight="1" outlineLevel="1" x14ac:dyDescent="0.15">
      <c r="A47" s="23" t="s">
        <v>87</v>
      </c>
      <c r="B47" s="433"/>
      <c r="C47" s="433"/>
      <c r="D47" s="433"/>
      <c r="E47" s="433"/>
      <c r="F47" s="433"/>
      <c r="G47" s="433"/>
      <c r="H47" s="433"/>
    </row>
    <row r="48" spans="1:8" ht="13.35" customHeight="1" collapsed="1" x14ac:dyDescent="0.15">
      <c r="A48" s="23"/>
    </row>
    <row r="49" spans="1:8" ht="45.4" hidden="1" customHeight="1" outlineLevel="1" x14ac:dyDescent="0.15">
      <c r="A49" s="23" t="s">
        <v>88</v>
      </c>
      <c r="B49" s="433"/>
      <c r="C49" s="433"/>
      <c r="D49" s="433"/>
      <c r="E49" s="433"/>
      <c r="F49" s="433"/>
      <c r="G49" s="433"/>
      <c r="H49" s="433"/>
    </row>
    <row r="50" spans="1:8" ht="13.35" customHeight="1" collapsed="1" x14ac:dyDescent="0.15">
      <c r="A50" s="23"/>
    </row>
    <row r="51" spans="1:8" ht="45.4" hidden="1" customHeight="1" outlineLevel="1" x14ac:dyDescent="0.15">
      <c r="A51" s="23" t="s">
        <v>89</v>
      </c>
      <c r="B51" s="433"/>
      <c r="C51" s="433"/>
      <c r="D51" s="433"/>
      <c r="E51" s="433"/>
      <c r="F51" s="433"/>
      <c r="G51" s="433"/>
      <c r="H51" s="433"/>
    </row>
    <row r="52" spans="1:8" ht="13.35" customHeight="1" collapsed="1" x14ac:dyDescent="0.15">
      <c r="A52" s="23"/>
    </row>
    <row r="53" spans="1:8" ht="45.4" hidden="1" customHeight="1" outlineLevel="1" x14ac:dyDescent="0.15">
      <c r="A53" s="24" t="s">
        <v>90</v>
      </c>
      <c r="B53" s="433"/>
      <c r="C53" s="433"/>
      <c r="D53" s="433"/>
      <c r="E53" s="433"/>
      <c r="F53" s="433"/>
      <c r="G53" s="433"/>
      <c r="H53" s="433"/>
    </row>
    <row r="54" spans="1:8" collapsed="1" x14ac:dyDescent="0.15"/>
  </sheetData>
  <mergeCells count="26">
    <mergeCell ref="B53:H53"/>
    <mergeCell ref="B41:H41"/>
    <mergeCell ref="B43:H43"/>
    <mergeCell ref="B45:H45"/>
    <mergeCell ref="B47:H47"/>
    <mergeCell ref="B49:H49"/>
    <mergeCell ref="B33:H33"/>
    <mergeCell ref="B35:H35"/>
    <mergeCell ref="B37:H37"/>
    <mergeCell ref="B39:H39"/>
    <mergeCell ref="B51:H51"/>
    <mergeCell ref="B23:H23"/>
    <mergeCell ref="B25:H25"/>
    <mergeCell ref="B27:H27"/>
    <mergeCell ref="B29:H29"/>
    <mergeCell ref="B31:H31"/>
    <mergeCell ref="B13:H13"/>
    <mergeCell ref="B15:H15"/>
    <mergeCell ref="B17:H17"/>
    <mergeCell ref="B19:H19"/>
    <mergeCell ref="B21:H21"/>
    <mergeCell ref="B3:H3"/>
    <mergeCell ref="B5:H5"/>
    <mergeCell ref="B7:H7"/>
    <mergeCell ref="B9:H9"/>
    <mergeCell ref="B11:H11"/>
  </mergeCells>
  <pageMargins left="0.7" right="0.7" top="0.75" bottom="0.75" header="0.3" footer="0.3"/>
  <customProperties>
    <customPr name="EpmWorksheetKeyString_GUID" r:id="rId1"/>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theme="1"/>
  </sheetPr>
  <dimension ref="A1:G31"/>
  <sheetViews>
    <sheetView zoomScaleNormal="100" workbookViewId="0"/>
  </sheetViews>
  <sheetFormatPr defaultColWidth="6.19921875" defaultRowHeight="12.75" x14ac:dyDescent="0.2"/>
  <cols>
    <col min="1" max="1" width="14.19921875" style="1" bestFit="1" customWidth="1"/>
    <col min="2" max="2" width="26.19921875" style="1" bestFit="1" customWidth="1"/>
    <col min="3" max="3" width="8.796875" style="1" bestFit="1" customWidth="1"/>
    <col min="4" max="4" width="11.19921875" style="1" bestFit="1" customWidth="1"/>
    <col min="5" max="5" width="42.796875" style="1" bestFit="1" customWidth="1"/>
    <col min="6" max="6" width="24.796875" style="1" customWidth="1"/>
    <col min="7" max="16384" width="6.19921875" style="1"/>
  </cols>
  <sheetData>
    <row r="1" spans="1:7" x14ac:dyDescent="0.2">
      <c r="A1" s="1" t="s">
        <v>14</v>
      </c>
      <c r="B1" s="1" t="s">
        <v>14</v>
      </c>
      <c r="C1" s="1" t="s">
        <v>14</v>
      </c>
      <c r="D1" s="26" t="s">
        <v>14</v>
      </c>
      <c r="E1" s="115" t="s">
        <v>14</v>
      </c>
      <c r="F1" s="116" t="s">
        <v>14</v>
      </c>
      <c r="G1" s="19" t="s">
        <v>14</v>
      </c>
    </row>
    <row r="2" spans="1:7" x14ac:dyDescent="0.2">
      <c r="A2" s="1" t="s">
        <v>18</v>
      </c>
      <c r="B2" s="2" t="s">
        <v>91</v>
      </c>
      <c r="C2" s="1" t="s">
        <v>92</v>
      </c>
      <c r="D2" s="26" t="s">
        <v>93</v>
      </c>
      <c r="E2" s="115" t="s">
        <v>94</v>
      </c>
      <c r="F2" s="116" t="s">
        <v>95</v>
      </c>
      <c r="G2" s="19" t="s">
        <v>94</v>
      </c>
    </row>
    <row r="3" spans="1:7" x14ac:dyDescent="0.2">
      <c r="A3" s="1" t="s">
        <v>96</v>
      </c>
      <c r="B3" s="2" t="s">
        <v>97</v>
      </c>
      <c r="C3" s="1" t="s">
        <v>98</v>
      </c>
      <c r="D3" s="26" t="s">
        <v>99</v>
      </c>
      <c r="E3" s="115" t="s">
        <v>100</v>
      </c>
      <c r="F3" s="116" t="s">
        <v>101</v>
      </c>
      <c r="G3" s="19" t="s">
        <v>100</v>
      </c>
    </row>
    <row r="4" spans="1:7" x14ac:dyDescent="0.2">
      <c r="D4" s="26" t="s">
        <v>102</v>
      </c>
      <c r="E4" s="115" t="s">
        <v>103</v>
      </c>
      <c r="G4" s="19" t="s">
        <v>103</v>
      </c>
    </row>
    <row r="5" spans="1:7" x14ac:dyDescent="0.2">
      <c r="E5" s="115" t="s">
        <v>104</v>
      </c>
      <c r="G5" s="19" t="s">
        <v>105</v>
      </c>
    </row>
    <row r="6" spans="1:7" x14ac:dyDescent="0.2">
      <c r="E6" s="115" t="s">
        <v>106</v>
      </c>
      <c r="G6" s="19" t="s">
        <v>106</v>
      </c>
    </row>
    <row r="7" spans="1:7" x14ac:dyDescent="0.2">
      <c r="E7" s="115" t="s">
        <v>107</v>
      </c>
      <c r="G7" s="19" t="s">
        <v>107</v>
      </c>
    </row>
    <row r="8" spans="1:7" x14ac:dyDescent="0.2">
      <c r="E8" s="115" t="s">
        <v>108</v>
      </c>
      <c r="G8" s="19" t="s">
        <v>108</v>
      </c>
    </row>
    <row r="9" spans="1:7" x14ac:dyDescent="0.2">
      <c r="E9" s="115" t="s">
        <v>109</v>
      </c>
      <c r="G9" s="19" t="s">
        <v>109</v>
      </c>
    </row>
    <row r="10" spans="1:7" x14ac:dyDescent="0.2">
      <c r="E10" s="115" t="s">
        <v>110</v>
      </c>
      <c r="G10" s="19" t="s">
        <v>110</v>
      </c>
    </row>
    <row r="11" spans="1:7" x14ac:dyDescent="0.2">
      <c r="A11" s="1" t="s">
        <v>14</v>
      </c>
    </row>
    <row r="12" spans="1:7" x14ac:dyDescent="0.2">
      <c r="A12" s="1" t="s">
        <v>121</v>
      </c>
    </row>
    <row r="13" spans="1:7" x14ac:dyDescent="0.2">
      <c r="A13" s="1" t="s">
        <v>214</v>
      </c>
    </row>
    <row r="16" spans="1:7" x14ac:dyDescent="0.2">
      <c r="A16" s="1" t="s">
        <v>14</v>
      </c>
    </row>
    <row r="17" spans="1:2" x14ac:dyDescent="0.2">
      <c r="A17" s="1" t="s">
        <v>122</v>
      </c>
    </row>
    <row r="18" spans="1:2" x14ac:dyDescent="0.2">
      <c r="A18" s="1" t="s">
        <v>123</v>
      </c>
      <c r="B18" s="1" t="s">
        <v>14</v>
      </c>
    </row>
    <row r="19" spans="1:2" x14ac:dyDescent="0.2">
      <c r="A19" s="1" t="s">
        <v>124</v>
      </c>
      <c r="B19" s="1" t="s">
        <v>125</v>
      </c>
    </row>
    <row r="20" spans="1:2" x14ac:dyDescent="0.2">
      <c r="A20" s="1" t="s">
        <v>126</v>
      </c>
      <c r="B20" s="1" t="s">
        <v>127</v>
      </c>
    </row>
    <row r="23" spans="1:2" x14ac:dyDescent="0.2">
      <c r="A23" s="1" t="s">
        <v>14</v>
      </c>
      <c r="B23" s="1" t="s">
        <v>14</v>
      </c>
    </row>
    <row r="24" spans="1:2" x14ac:dyDescent="0.2">
      <c r="A24" s="1" t="s">
        <v>128</v>
      </c>
      <c r="B24" s="1" t="s">
        <v>129</v>
      </c>
    </row>
    <row r="25" spans="1:2" x14ac:dyDescent="0.2">
      <c r="A25" s="1" t="s">
        <v>130</v>
      </c>
      <c r="B25" s="1" t="s">
        <v>131</v>
      </c>
    </row>
    <row r="26" spans="1:2" x14ac:dyDescent="0.2">
      <c r="B26" s="1" t="s">
        <v>132</v>
      </c>
    </row>
    <row r="27" spans="1:2" x14ac:dyDescent="0.2">
      <c r="A27" s="1" t="s">
        <v>14</v>
      </c>
      <c r="B27" s="1" t="s">
        <v>133</v>
      </c>
    </row>
    <row r="28" spans="1:2" x14ac:dyDescent="0.2">
      <c r="A28" s="1" t="s">
        <v>134</v>
      </c>
      <c r="B28" s="1" t="s">
        <v>135</v>
      </c>
    </row>
    <row r="29" spans="1:2" x14ac:dyDescent="0.2">
      <c r="A29" s="1" t="s">
        <v>136</v>
      </c>
      <c r="B29" s="1" t="s">
        <v>137</v>
      </c>
    </row>
    <row r="30" spans="1:2" x14ac:dyDescent="0.2">
      <c r="B30" s="1" t="s">
        <v>138</v>
      </c>
    </row>
    <row r="31" spans="1:2" x14ac:dyDescent="0.2">
      <c r="B31" s="1" t="s">
        <v>139</v>
      </c>
    </row>
  </sheetData>
  <pageMargins left="0.75" right="0.75" top="1" bottom="1" header="0.5" footer="0.5"/>
  <headerFooter alignWithMargins="0"/>
  <customProperties>
    <customPr name="EpmWorksheetKeyString_GUID"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C797675FE87B64B898AF79B333FF46B" ma:contentTypeVersion="1" ma:contentTypeDescription="Create a new document." ma:contentTypeScope="" ma:versionID="98131f07dd9062d2ea723e622c750568">
  <xsd:schema xmlns:xsd="http://www.w3.org/2001/XMLSchema" xmlns:xs="http://www.w3.org/2001/XMLSchema" xmlns:p="http://schemas.microsoft.com/office/2006/metadata/properties" xmlns:ns2="e4f352ca-e307-4575-8be2-59bc03257fbf" targetNamespace="http://schemas.microsoft.com/office/2006/metadata/properties" ma:root="true" ma:fieldsID="25460e163f444b9bec64cea1d95e45b7" ns2:_="">
    <xsd:import namespace="e4f352ca-e307-4575-8be2-59bc03257fbf"/>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4f352ca-e307-4575-8be2-59bc03257fb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865F55E-42AE-411D-8402-DE562FB930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4f352ca-e307-4575-8be2-59bc03257fb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F24FDBD-6F9B-4790-B5B6-3FFB46C091F6}">
  <ds:schemaRefs>
    <ds:schemaRef ds:uri="http://schemas.microsoft.com/sharepoint/v3/contenttype/forms"/>
  </ds:schemaRefs>
</ds:datastoreItem>
</file>

<file path=customXml/itemProps3.xml><?xml version="1.0" encoding="utf-8"?>
<ds:datastoreItem xmlns:ds="http://schemas.openxmlformats.org/officeDocument/2006/customXml" ds:itemID="{6FB5A16C-3BCB-476F-9905-6BBB9903EEB4}">
  <ds:schemaRefs>
    <ds:schemaRef ds:uri="http://purl.org/dc/elements/1.1/"/>
    <ds:schemaRef ds:uri="e4f352ca-e307-4575-8be2-59bc03257fbf"/>
    <ds:schemaRef ds:uri="http://schemas.microsoft.com/office/2006/documentManagement/types"/>
    <ds:schemaRef ds:uri="http://purl.org/dc/dcmitype/"/>
    <ds:schemaRef ds:uri="http://schemas.microsoft.com/office/infopath/2007/PartnerControls"/>
    <ds:schemaRef ds:uri="http://www.w3.org/XML/1998/namespace"/>
    <ds:schemaRef ds:uri="http://purl.org/dc/term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0. Summary Tab</vt:lpstr>
      <vt:lpstr>1. Population Reconciliation</vt:lpstr>
      <vt:lpstr>2. SAP Considerations</vt:lpstr>
      <vt:lpstr>3. SAP — Disaggregated Part 1</vt:lpstr>
      <vt:lpstr>4. SAP — Disaggregated Part 2</vt:lpstr>
      <vt:lpstr>5. SAP — Disaggregated Part 3</vt:lpstr>
      <vt:lpstr>6. SAP IPE</vt:lpstr>
      <vt:lpstr>7. Appendix for Expectation</vt:lpstr>
      <vt:lpstr>Tickmarks</vt:lpstr>
      <vt:lpstr>Parameters (Hide)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dc:creator>
  <cp:keywords/>
  <dc:description>  </dc:description>
  <cp:lastModifiedBy>Todaro, Tammy</cp:lastModifiedBy>
  <cp:revision/>
  <dcterms:created xsi:type="dcterms:W3CDTF">2006-09-16T00:00:00Z</dcterms:created>
  <dcterms:modified xsi:type="dcterms:W3CDTF">2021-03-12T19:25:57Z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0x010100BC797675FE87B64B898AF79B333FF46B</vt:lpwstr>
  </property>
  <property fmtid="{D5CDD505-2E9C-101B-9397-08002B2CF9AE}" pid="3" name="AutoColor">
    <vt:lpwstr>False</vt:lpwstr>
  </property>
</Properties>
</file>